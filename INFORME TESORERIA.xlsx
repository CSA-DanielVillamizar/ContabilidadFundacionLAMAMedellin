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elVillamizar\ContabilidadLAMAMedellin\"/>
    </mc:Choice>
  </mc:AlternateContent>
  <xr:revisionPtr revIDLastSave="0" documentId="13_ncr:1_{446FCA9B-641C-49A5-9F0A-ACF7432CD410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CORTE MAYO - 24" sheetId="4" r:id="rId1"/>
    <sheet name="CORTE JUNIO-4-24" sheetId="1" r:id="rId2"/>
    <sheet name="CORTE JULIO 4 -24" sheetId="3" r:id="rId3"/>
    <sheet name="CORTE AGOSTO 4 -24" sheetId="5" r:id="rId4"/>
    <sheet name="CORTE DICIEMBRE 20 -24" sheetId="7" r:id="rId5"/>
    <sheet name="CORTE FEBRERO 28-25" sheetId="8" r:id="rId6"/>
    <sheet name="CORTE MARZO 31-25" sheetId="10" r:id="rId7"/>
    <sheet name="CORTE ABRIL 30-25 " sheetId="11" r:id="rId8"/>
    <sheet name="CORTE MAYO 31-25" sheetId="12" r:id="rId9"/>
    <sheet name="CORTE JUNIO 30-25" sheetId="13" r:id="rId10"/>
    <sheet name="CORTE JULIO 31-25" sheetId="14" r:id="rId11"/>
    <sheet name="CORTE AGOSTO 31-25" sheetId="9" r:id="rId12"/>
    <sheet name="CORTE SEPTIEMBRE 11-25 " sheetId="17" r:id="rId13"/>
    <sheet name="CORTE OCTUBRE 15-25 " sheetId="16" r:id="rId14"/>
  </sheets>
  <definedNames>
    <definedName name="_xlnm.Print_Area" localSheetId="2">'CORTE JULIO 4 -24'!$A$1:$E$45</definedName>
    <definedName name="_xlnm.Print_Area" localSheetId="1">'CORTE JUNIO-4-24'!$A$1:$E$33</definedName>
    <definedName name="_xlnm.Print_Area" localSheetId="0">'CORTE MAYO - 24'!$A$1:$E$33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8" l="1"/>
  <c r="C34" i="7"/>
  <c r="C41" i="7"/>
  <c r="D34" i="7"/>
  <c r="C33" i="10"/>
  <c r="C37" i="10" s="1"/>
  <c r="D33" i="10"/>
  <c r="C40" i="10" s="1"/>
  <c r="C33" i="11"/>
  <c r="C37" i="11" s="1"/>
  <c r="D33" i="11"/>
  <c r="D33" i="12"/>
  <c r="D15" i="14"/>
  <c r="C22" i="14" s="1"/>
  <c r="C18" i="9"/>
  <c r="E17" i="9"/>
  <c r="E9" i="16"/>
  <c r="E17" i="17"/>
  <c r="E11" i="17"/>
  <c r="E12" i="17" s="1"/>
  <c r="E13" i="17" s="1"/>
  <c r="E14" i="17" s="1"/>
  <c r="E15" i="17" s="1"/>
  <c r="E10" i="17"/>
  <c r="D17" i="17"/>
  <c r="C24" i="17" s="1"/>
  <c r="C36" i="10"/>
  <c r="C41" i="10"/>
  <c r="C40" i="11"/>
  <c r="C33" i="12"/>
  <c r="C37" i="12" s="1"/>
  <c r="D18" i="9"/>
  <c r="C25" i="9" s="1"/>
  <c r="C22" i="9"/>
  <c r="C15" i="14"/>
  <c r="C19" i="14" s="1"/>
  <c r="C37" i="13"/>
  <c r="D16" i="16"/>
  <c r="C23" i="16" s="1"/>
  <c r="J21" i="16"/>
  <c r="J19" i="16"/>
  <c r="C16" i="16"/>
  <c r="C20" i="16" s="1"/>
  <c r="C17" i="17"/>
  <c r="C21" i="17" s="1"/>
  <c r="J9" i="17"/>
  <c r="C10" i="14"/>
  <c r="J9" i="16"/>
  <c r="H11" i="12"/>
  <c r="H11" i="11"/>
  <c r="H10" i="12" s="1"/>
  <c r="J11" i="13" s="1"/>
  <c r="J15" i="13" s="1"/>
  <c r="D33" i="13"/>
  <c r="C40" i="13" s="1"/>
  <c r="C33" i="13"/>
  <c r="E9" i="11"/>
  <c r="C36" i="11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20" i="3"/>
  <c r="E21" i="3"/>
  <c r="E22" i="3" s="1"/>
  <c r="E23" i="3" s="1"/>
  <c r="E24" i="3" s="1"/>
  <c r="E25" i="3" s="1"/>
  <c r="E26" i="3" s="1"/>
  <c r="E27" i="3" s="1"/>
  <c r="E28" i="3" s="1"/>
  <c r="E29" i="3" s="1"/>
  <c r="E11" i="3"/>
  <c r="E12" i="3" s="1"/>
  <c r="E13" i="3" s="1"/>
  <c r="E14" i="3" s="1"/>
  <c r="E15" i="3" s="1"/>
  <c r="E16" i="3" s="1"/>
  <c r="E17" i="3" s="1"/>
  <c r="E18" i="3" s="1"/>
  <c r="E19" i="3" s="1"/>
  <c r="E10" i="3"/>
  <c r="E29" i="8"/>
  <c r="E30" i="8"/>
  <c r="E31" i="8"/>
  <c r="E32" i="8" s="1"/>
  <c r="N23" i="5"/>
  <c r="N30" i="5"/>
  <c r="N27" i="5"/>
  <c r="E26" i="7"/>
  <c r="E27" i="7"/>
  <c r="E28" i="7" s="1"/>
  <c r="E29" i="7" s="1"/>
  <c r="E30" i="7" s="1"/>
  <c r="E31" i="7" s="1"/>
  <c r="E32" i="7" s="1"/>
  <c r="E33" i="7" s="1"/>
  <c r="E13" i="7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N21" i="5"/>
  <c r="N20" i="5"/>
  <c r="N19" i="5"/>
  <c r="N18" i="5"/>
  <c r="E16" i="17" l="1"/>
  <c r="C40" i="12"/>
  <c r="E10" i="1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C39" i="11"/>
  <c r="C39" i="10"/>
  <c r="C41" i="11" l="1"/>
  <c r="H10" i="11" s="1"/>
  <c r="E33" i="11"/>
  <c r="C37" i="7"/>
  <c r="C40" i="8"/>
  <c r="C33" i="8"/>
  <c r="C37" i="8" s="1"/>
  <c r="C38" i="7"/>
  <c r="E10" i="7"/>
  <c r="E11" i="7" s="1"/>
  <c r="E12" i="7" s="1"/>
  <c r="C38" i="5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10" i="5"/>
  <c r="H12" i="11" l="1"/>
  <c r="H9" i="12" s="1"/>
  <c r="H12" i="12" s="1"/>
  <c r="J10" i="13" s="1"/>
  <c r="J17" i="13" s="1"/>
  <c r="E9" i="12"/>
  <c r="E10" i="12" s="1"/>
  <c r="E11" i="12" s="1"/>
  <c r="E12" i="12" s="1"/>
  <c r="E35" i="5"/>
  <c r="C40" i="7"/>
  <c r="E34" i="7"/>
  <c r="C42" i="7" s="1"/>
  <c r="E9" i="8" s="1"/>
  <c r="D35" i="5"/>
  <c r="C42" i="5" s="1"/>
  <c r="C35" i="5"/>
  <c r="C39" i="5" s="1"/>
  <c r="C19" i="4"/>
  <c r="E17" i="4"/>
  <c r="D17" i="4"/>
  <c r="C24" i="4" s="1"/>
  <c r="C17" i="4"/>
  <c r="C20" i="4" s="1"/>
  <c r="C23" i="4" s="1"/>
  <c r="C26" i="4" s="1"/>
  <c r="E13" i="12" l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C36" i="12"/>
  <c r="C39" i="12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33" i="8" s="1"/>
  <c r="C41" i="8" s="1"/>
  <c r="C36" i="8"/>
  <c r="C39" i="8" s="1"/>
  <c r="C41" i="5"/>
  <c r="C43" i="5" s="1"/>
  <c r="D30" i="3"/>
  <c r="C30" i="3"/>
  <c r="E32" i="12" l="1"/>
  <c r="C33" i="3"/>
  <c r="C37" i="3"/>
  <c r="C34" i="3"/>
  <c r="E33" i="12" l="1"/>
  <c r="C41" i="12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C41" i="13" s="1"/>
  <c r="E9" i="14" s="1"/>
  <c r="E10" i="14" s="1"/>
  <c r="E11" i="14" s="1"/>
  <c r="E12" i="14" s="1"/>
  <c r="E13" i="14" s="1"/>
  <c r="E14" i="14" s="1"/>
  <c r="E15" i="14" s="1"/>
  <c r="C36" i="3"/>
  <c r="C38" i="3" s="1"/>
  <c r="C36" i="13" l="1"/>
  <c r="C39" i="13" s="1"/>
  <c r="C18" i="14"/>
  <c r="C21" i="14" s="1"/>
  <c r="C19" i="1"/>
  <c r="D17" i="1"/>
  <c r="C24" i="1" s="1"/>
  <c r="C17" i="1"/>
  <c r="C20" i="1" s="1"/>
  <c r="C23" i="14" l="1"/>
  <c r="E9" i="9" s="1"/>
  <c r="E10" i="9" s="1"/>
  <c r="E11" i="9" s="1"/>
  <c r="E12" i="9" s="1"/>
  <c r="E13" i="9" s="1"/>
  <c r="E14" i="9" s="1"/>
  <c r="E15" i="9" s="1"/>
  <c r="E16" i="9" s="1"/>
  <c r="E18" i="9" s="1"/>
  <c r="C23" i="1"/>
  <c r="C21" i="9" l="1"/>
  <c r="C24" i="9" s="1"/>
  <c r="C26" i="9" l="1"/>
  <c r="E9" i="17" s="1"/>
  <c r="C20" i="17" l="1"/>
  <c r="C23" i="17" s="1"/>
  <c r="C25" i="17" l="1"/>
  <c r="E10" i="16" s="1"/>
  <c r="E11" i="16" s="1"/>
  <c r="E12" i="16" s="1"/>
  <c r="E13" i="16" s="1"/>
  <c r="E14" i="16" s="1"/>
  <c r="E15" i="16" s="1"/>
  <c r="E16" i="16" s="1"/>
  <c r="C24" i="16" s="1"/>
  <c r="C19" i="16"/>
  <c r="C22" i="16" s="1"/>
</calcChain>
</file>

<file path=xl/sharedStrings.xml><?xml version="1.0" encoding="utf-8"?>
<sst xmlns="http://schemas.openxmlformats.org/spreadsheetml/2006/main" count="465" uniqueCount="195">
  <si>
    <t>LATIN AMERICAN MOTORCYCLE ASSOCIATION</t>
  </si>
  <si>
    <t>CAPITULO LAMA MEDELLIN</t>
  </si>
  <si>
    <t>"¡HERMAN@S PARA HACER HERMAN@S!"</t>
  </si>
  <si>
    <t>INFORME DE TESORERIA - CORTE JUNIO 4 / 2024</t>
  </si>
  <si>
    <t>FECHA</t>
  </si>
  <si>
    <t>CONCEPTO</t>
  </si>
  <si>
    <t xml:space="preserve">INGRESOS </t>
  </si>
  <si>
    <t xml:space="preserve">EGRESOS </t>
  </si>
  <si>
    <t xml:space="preserve">SALDO </t>
  </si>
  <si>
    <t>ENTREGA  DINERO POR PARTE DEL PRESIDENTE</t>
  </si>
  <si>
    <t>PAGO MENSUALIDADES ENERO A JUNIO CAMILO ORTEGON</t>
  </si>
  <si>
    <t>PAGO MENSUALIDADES ENERO A JUNIO MARIO JIMENEZ</t>
  </si>
  <si>
    <t xml:space="preserve">TOTAL </t>
  </si>
  <si>
    <t>SALDO EFECTIVO MES ANTERIOR</t>
  </si>
  <si>
    <t>Dólares</t>
  </si>
  <si>
    <t>U$ 135</t>
  </si>
  <si>
    <t>TOTAL INGRESOS</t>
  </si>
  <si>
    <t>SALDO EN TESORERIA A LA FECHA</t>
  </si>
  <si>
    <t>MARIO ALBERTO JIMENEZ PARRA</t>
  </si>
  <si>
    <t>TESORERO LAMA MEDELLIN</t>
  </si>
  <si>
    <t>SALDO MES ANTERIOR EFECTIVO</t>
  </si>
  <si>
    <t>PAGO MENSUALIDADES ENERO A MAYO CARLOS MARIO DIAZ</t>
  </si>
  <si>
    <t>PAGO PARCHE MEMBRESIA AÑO 2024 CARLOS MARIO DIAZ</t>
  </si>
  <si>
    <t>PAGO CAMISETAS LAMA MEDELLIN CAMILO ORTEGON</t>
  </si>
  <si>
    <t>EFECTIVO MILTON FALTANTE POR CONSIGNAR</t>
  </si>
  <si>
    <t>INFORME DE TESORERIA - CORTE JULIO 04 / 2024</t>
  </si>
  <si>
    <t>VENTA 4 GORRAS Y 4 BALACLAVAS GIRLESA BUITRAGO</t>
  </si>
  <si>
    <t xml:space="preserve">CONSIGNACION MILTON  GOMEZ  </t>
  </si>
  <si>
    <t>PAGO A CARLOS MARIO CEBALLOS  EVENTO NIÑOS DIC</t>
  </si>
  <si>
    <t>PAGO A RAMON GONZALEZ  ASISTENCIA  RALLEY INTERNACIONAL</t>
  </si>
  <si>
    <t>PAGO A JHON JARVEY GOMEZ ASISTENCIA RALLEY INTERNACIONAL</t>
  </si>
  <si>
    <t>PAGO ASISTENCIA LAMA HIERRO CARLOS ALBERTO ARAQUE</t>
  </si>
  <si>
    <t>PAGO ASISTENCIA LAMA HIERRO CARLOS YEFERSON MONTOYA</t>
  </si>
  <si>
    <t>PAGO  A YEFERSON USUGA ASISTENCIA RALLEY INTERNACIONAL</t>
  </si>
  <si>
    <t>PAGO HECTOR MARIO GONZALEZ ASISTENCIA RALLEY INTERNACIONAL</t>
  </si>
  <si>
    <t>PAGO ASISTENCIA RALEY INTERNACIONAL CAPA</t>
  </si>
  <si>
    <t>RECAUDO  MENSUALIDAD  JUL-AGO -SEP  RAMON GONZALEZ</t>
  </si>
  <si>
    <t>RECAUDO  MENSUALIDAD  JUL-AGO -SEP  JHON JARVEY GOMEZ</t>
  </si>
  <si>
    <t>RECAUDO  MENSUALIDAD  JUL-AGO -SEP   CAPA</t>
  </si>
  <si>
    <t>RECAUDO MENSUALIDAD  ENERO A JUNIO YEFERSON MONTOYA</t>
  </si>
  <si>
    <t>RECAUDO  MENSUALIDAD  JUL-AGO -SEP  YEFERSON MONTOYA</t>
  </si>
  <si>
    <t>RECAUDO  MENSUALIDAD  JUL-AGO -SEP MARIO JIMENEZ</t>
  </si>
  <si>
    <t>RECAUDO  MENSUALIDAD  JUL-AGO -SEP HECTOR MARIO GONZALEZ</t>
  </si>
  <si>
    <t>RECAUDO  MENSUALIDAD  JUL-AGO -SEP YEFERSON USUGA</t>
  </si>
  <si>
    <t>RECAUDO MENSUAIDAD MAYO A DIC CARLOS MARIO DIAZ</t>
  </si>
  <si>
    <t>RECAUDO MENSUALIDAD ENERO -JUNIO ALEXANDER BETANCUR</t>
  </si>
  <si>
    <t>RECAUDO MENSUALIDAD JULIO -DICIEMBRE HERNANDO VILLADA</t>
  </si>
  <si>
    <t>RECAUDO MENSUALIDAD ENERO -JUNIO CESAR RODRIGUEZ</t>
  </si>
  <si>
    <t>RECAUDO MENSUALIDAD ENERO -JUNIO ROBINSON GALVIS</t>
  </si>
  <si>
    <t>RECAUDO MENSUALIDAD ENERO -JUNIO  JUAN OSORIO</t>
  </si>
  <si>
    <t xml:space="preserve">RECAUDO ACTIVIDAD PERROS ASAMBLEA JULIO </t>
  </si>
  <si>
    <t>RECAUDO MENSUALIDAD OCT- DIC.   RAMON GONZALES</t>
  </si>
  <si>
    <t>ITEMS</t>
  </si>
  <si>
    <t xml:space="preserve">CANTIDAD </t>
  </si>
  <si>
    <t>VALOR</t>
  </si>
  <si>
    <t>TOTAL</t>
  </si>
  <si>
    <t>RECAUDO MENSUALIDAD ENE- JUN. JUAN ESTEBAN SUAREZ</t>
  </si>
  <si>
    <t>NACIONALES</t>
  </si>
  <si>
    <t>RECAUDO MENSUALIDAD ABR- JUN. GIRLESA BUIRAGO</t>
  </si>
  <si>
    <t>INTERNACIONAL</t>
  </si>
  <si>
    <t>RECAUDO MENSUALIDAD ENE- JUL. FREDDY MARIN</t>
  </si>
  <si>
    <t>TRANSPORTE INT</t>
  </si>
  <si>
    <t>RECAUDO MENSUALIDAD JUL- AGO. CAMILO ORTEGON</t>
  </si>
  <si>
    <t>TRANSPORTE NA</t>
  </si>
  <si>
    <t>RECAUDO MENSUALIDAD JUL- AGO.  JOSE EDINSON OSPINA</t>
  </si>
  <si>
    <t>VENTAS GIRLESA</t>
  </si>
  <si>
    <t>PAGO 7 INSCRIPCIONES RALLY NACIONAL</t>
  </si>
  <si>
    <t xml:space="preserve">INGRESOS POR INSCRIPCIONES </t>
  </si>
  <si>
    <t>INGRESOS POR TRANSPORTE</t>
  </si>
  <si>
    <t xml:space="preserve">COMPRAS </t>
  </si>
  <si>
    <t>PAGO  TRASNPORTES  BUSES SANTA FE ANTIOQUIA</t>
  </si>
  <si>
    <t xml:space="preserve">BUSES </t>
  </si>
  <si>
    <t xml:space="preserve">COMPRA DE PARCHES </t>
  </si>
  <si>
    <t>ALMUERZOS BAILARINES</t>
  </si>
  <si>
    <t xml:space="preserve">PEAJE TRAILER </t>
  </si>
  <si>
    <t>RECONOCIMIENTOS PIÑONES</t>
  </si>
  <si>
    <t>SALDO</t>
  </si>
  <si>
    <t>PREMIOS OTROS GANADORES COOLAR AREPAS ETC</t>
  </si>
  <si>
    <t>PENDIENTE  GERENCIA NEGOCIOS</t>
  </si>
  <si>
    <t>MANILLAS  MARCADAS</t>
  </si>
  <si>
    <t xml:space="preserve">VENTAS GIRLESA </t>
  </si>
  <si>
    <t>INFORME DE TESORERIA - CORTE DIC 31 / 2024</t>
  </si>
  <si>
    <t>PAGO MENSUALIDAD MARIO JIMENEZ</t>
  </si>
  <si>
    <t xml:space="preserve">SILLAS Y MESAS TRANSPORTES GASTOS  PARA ANIVERSARIO </t>
  </si>
  <si>
    <t>COMPRA DE PARCHES INTERNACIONALES</t>
  </si>
  <si>
    <t xml:space="preserve">PAGO  TRASNPORTADORA  POR ENVIO PARCHES </t>
  </si>
  <si>
    <t>PAGO PARCHES MOVIE ARZUZA</t>
  </si>
  <si>
    <t>PAGO DE MENSUALIDAD ANGELA</t>
  </si>
  <si>
    <t>PAGO MENSUALIDAD MOVIE</t>
  </si>
  <si>
    <t>COMPRA 5 RECORDATORIOS   3 ARGENTINA 1 BUGA 1 PEREIRA</t>
  </si>
  <si>
    <t>PAGO HECTOR MENSUALIDAD  E INSCRPCION 2025</t>
  </si>
  <si>
    <t xml:space="preserve">PAGO ANGELA PARCHES  </t>
  </si>
  <si>
    <t>MENSUALIDAD CAMILO ORTEGON</t>
  </si>
  <si>
    <t>MENSUALIDAD CARLOS ANDRES PERES</t>
  </si>
  <si>
    <t xml:space="preserve">FIESTA FIN DE AÑO </t>
  </si>
  <si>
    <t>PAGO MENSUALIDAD EDINSON OSPINA</t>
  </si>
  <si>
    <t xml:space="preserve">PAGO MENSUALIDAD JHON HARVEY </t>
  </si>
  <si>
    <t>PAGO MENSUALIDAD CARLOS MARIO CEBALLOS</t>
  </si>
  <si>
    <t>PAGO A RAMON USO DE SALON  ASAMBLEA DE ENERO</t>
  </si>
  <si>
    <t>PAGO MENSUALIDAD CESAR RODRIGUEZ</t>
  </si>
  <si>
    <t>PAGO MENSUALIDAD ROBINSON GALVIS</t>
  </si>
  <si>
    <t>PAGO MENSUALIDAD JUAN ESTEBAN SUAREZ</t>
  </si>
  <si>
    <t>PAGO MENSUALIDAD E INSCRIPCION  GIRLESA  BUITRAGO</t>
  </si>
  <si>
    <t>PAGO MEMBRESIA RAMON GONZALES</t>
  </si>
  <si>
    <t xml:space="preserve">PAGO MENSUALIDAD  ENERO 2025 Y MEMBRESIA DANIEL </t>
  </si>
  <si>
    <t>RECAUDO CUOTA DE FIESTA   FIN DE AÑO</t>
  </si>
  <si>
    <t>INFORME DE TESORERIA - CORTE  FEB 28 / 2025</t>
  </si>
  <si>
    <t>PAGO MEMBRESIA  ESPOSA DE DANIEL VILLAMIZAR</t>
  </si>
  <si>
    <t>PAGO MENSUALIDAD  FEB- DIC  DANIEL  VILLAMIZAR</t>
  </si>
  <si>
    <t xml:space="preserve">PAGO MEMBRESIA JHON ARZUZA </t>
  </si>
  <si>
    <t>PAGO MEMBRESIA  CARLOS JULIO MOVIE</t>
  </si>
  <si>
    <t>PAGO  MEMBRESIA Y MENSUAIDAD ENERO  ANGELA MARIA</t>
  </si>
  <si>
    <t xml:space="preserve"> PAGO MEMBRESIA  MARIO JIMENEZ</t>
  </si>
  <si>
    <t>PAGO MEMBRESIA JHON DAVID SANCHEZ TIIN</t>
  </si>
  <si>
    <t>PAGO MEMBRESIA JHON JARVEY</t>
  </si>
  <si>
    <t>PAGO MEMBRESIA CAMILO ORTEGON</t>
  </si>
  <si>
    <t>PAGO MEMBRESIA YEFERSON USUGA</t>
  </si>
  <si>
    <t>PAGO  MEMBRESIA JEFERSON MONTOYA</t>
  </si>
  <si>
    <t xml:space="preserve">PAGO MENSUALIDAD ENERO GIRLESA </t>
  </si>
  <si>
    <t>PAGO  MEMBRESIA Y MENSUALIDAD ENE- DIC  CARLOS ARAQUE</t>
  </si>
  <si>
    <t>PAGO  MEMBRESIA Y MENSUALIDAD ENE- JUNIO   CAPA</t>
  </si>
  <si>
    <t>PAGO MEMBRESIA JOSE EDINSON  OSPINA</t>
  </si>
  <si>
    <t>PAGO MEMBRESIA    ROBINSON GALVEZ</t>
  </si>
  <si>
    <t xml:space="preserve">COMPRA MUESTRA RECONOCIMIENTO </t>
  </si>
  <si>
    <t>COMPRA DE MEMBRESIAS</t>
  </si>
  <si>
    <t>PAGO TRASNPORTADORA MEMBRESIAS</t>
  </si>
  <si>
    <t>PAGO ALQUILER DE FINCA FIESTA FIN DE AÑO</t>
  </si>
  <si>
    <t>COMPRA 5 RECORDATORIOS</t>
  </si>
  <si>
    <t>PAGO DE PARCHES DANIEL VILLAMIZAR</t>
  </si>
  <si>
    <t>PAGO MENSUALIDAD FEBRERO ANGELA</t>
  </si>
  <si>
    <t>dolares</t>
  </si>
  <si>
    <t>INFORME DE TESORERIA - CORTE  MAR  31 / 2025</t>
  </si>
  <si>
    <t>INFORME DE TESORERIA - CORTE  ABR 30 / 2025</t>
  </si>
  <si>
    <t>PAGO MEMBRESIA MILTON GOMEZ</t>
  </si>
  <si>
    <r>
      <t xml:space="preserve">COMPRA DE </t>
    </r>
    <r>
      <rPr>
        <b/>
        <sz val="11"/>
        <color rgb="FF000000"/>
        <rFont val="Calibri"/>
        <family val="2"/>
        <scheme val="minor"/>
      </rPr>
      <t>5 * 20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USD </t>
    </r>
    <r>
      <rPr>
        <sz val="11"/>
        <color rgb="FF000000"/>
        <rFont val="Calibri"/>
        <family val="2"/>
        <scheme val="minor"/>
      </rPr>
      <t xml:space="preserve">MEMBRESIAS </t>
    </r>
    <r>
      <rPr>
        <b/>
        <sz val="11"/>
        <color rgb="FF000000"/>
        <rFont val="Calibri"/>
        <family val="2"/>
        <scheme val="minor"/>
      </rPr>
      <t>TRM 4.387,98</t>
    </r>
  </si>
  <si>
    <r>
      <t xml:space="preserve">COMPRA PARCHES </t>
    </r>
    <r>
      <rPr>
        <b/>
        <sz val="11"/>
        <color theme="1"/>
        <rFont val="Calibri"/>
        <family val="2"/>
        <scheme val="minor"/>
      </rPr>
      <t>176 USD</t>
    </r>
    <r>
      <rPr>
        <sz val="11"/>
        <color theme="1"/>
        <rFont val="Calibri"/>
        <family val="2"/>
        <scheme val="minor"/>
      </rPr>
      <t xml:space="preserve"> (1 COLOMBIA ASSOCIATE APPLICATION FEE + 2 2025 INTERNATIONAL SPOUSAL MEMBERSHIP RENEWAL + 1 FIRST YEAR INTERNATIONAL PATCHES + 1 COLOMBIA COUNTRY WING + 1 COLOMBIA COUTRY PATCH + 1 CHAPTER CITY PATCH + 1 COLOMBIA STATE PATCH + 1 COLOMBIA COUNTRY FLAG + 3 DAMA PATCH </t>
    </r>
    <r>
      <rPr>
        <b/>
        <sz val="11"/>
        <color theme="1"/>
        <rFont val="Calibri"/>
        <family val="2"/>
        <scheme val="minor"/>
      </rPr>
      <t>TRM 4.387,98</t>
    </r>
    <r>
      <rPr>
        <sz val="11"/>
        <color theme="1"/>
        <rFont val="Calibri"/>
        <family val="2"/>
        <scheme val="minor"/>
      </rPr>
      <t>)</t>
    </r>
  </si>
  <si>
    <r>
      <t xml:space="preserve">VENTA 165 DOLARES 25/03 A </t>
    </r>
    <r>
      <rPr>
        <b/>
        <sz val="11"/>
        <color rgb="FF000000"/>
        <rFont val="Calibri"/>
        <family val="2"/>
        <scheme val="minor"/>
      </rPr>
      <t>3,970</t>
    </r>
  </si>
  <si>
    <t>DANIEL VILLAMIZAR ARAQUE</t>
  </si>
  <si>
    <t>TESORERO ADHOC LAMA MEDELLIN</t>
  </si>
  <si>
    <t>VENTA 8 CAMISETAS</t>
  </si>
  <si>
    <t>VENTA 1 BUFF</t>
  </si>
  <si>
    <t>PAGO TRANSPORTADORA INTERRAPIDISIMO</t>
  </si>
  <si>
    <t xml:space="preserve">  </t>
  </si>
  <si>
    <t>INFORME DE TESORERIA - CORTE  MAY 31 / 2025</t>
  </si>
  <si>
    <t>COMPRA TORTA CUMPLEAÑOS TRIMESTRE</t>
  </si>
  <si>
    <t>ANGELA MARIA RODRIGUEZ</t>
  </si>
  <si>
    <t>VENTA 1 CAMISETA JULIÁN</t>
  </si>
  <si>
    <t>INFORME DE TESORERIA - CORTE  JUN 30 / 2025</t>
  </si>
  <si>
    <t>INFORME DE TESORERIA - CORTE  JUL 31 / 2025</t>
  </si>
  <si>
    <t>(</t>
  </si>
  <si>
    <t>Pendiente por cobrar</t>
  </si>
  <si>
    <t>Saldo real actual</t>
  </si>
  <si>
    <t xml:space="preserve">Saldo deseado </t>
  </si>
  <si>
    <t>Pendiente de recibir por parte de tesoreria a miembros</t>
  </si>
  <si>
    <t>PAGO TRANSPORTADORA INTERRAPIDISIMO 4 Parches MEMBRESIA</t>
  </si>
  <si>
    <t>Saldo Real Anterior</t>
  </si>
  <si>
    <t>Saldo Real Actual</t>
  </si>
  <si>
    <t>Saldo real a entregar a Tesorera</t>
  </si>
  <si>
    <t>Saldo con el que quedaria el capitulo al recibir pendientes por parte de algunos miembros</t>
  </si>
  <si>
    <t>Ingreso del mes</t>
  </si>
  <si>
    <t>consignacion a la cuenta de la junta</t>
  </si>
  <si>
    <t>Diferencias entre saldo real y consignación</t>
  </si>
  <si>
    <t>Total Consignado - Junio 2025</t>
  </si>
  <si>
    <t>Pendiente por cobro</t>
  </si>
  <si>
    <t>Pago - Recordatorio Parches</t>
  </si>
  <si>
    <t>Abono Banquete</t>
  </si>
  <si>
    <t>Abono Jersy's</t>
  </si>
  <si>
    <t>Inscripciones Pagas - Julio</t>
  </si>
  <si>
    <t>Abono Banquete #2</t>
  </si>
  <si>
    <t xml:space="preserve">Reconocimientos Visitantes </t>
  </si>
  <si>
    <t>Reintegro Pagos - Efectivo</t>
  </si>
  <si>
    <t>Cancelación Total Banquete</t>
  </si>
  <si>
    <t>Pago Veracruz Estéreo</t>
  </si>
  <si>
    <t>Inscripciones Efectivo - Agosto 4</t>
  </si>
  <si>
    <t>Devolución Jersey's</t>
  </si>
  <si>
    <t>Inscripciones Pagas, Jersey's, Donaciones - Agosto</t>
  </si>
  <si>
    <t>Mensualidad E Inscripción Cesar</t>
  </si>
  <si>
    <t>Mensualidad Angela Maria</t>
  </si>
  <si>
    <t>Venta Parches LAMA</t>
  </si>
  <si>
    <t>Venta Jersey's LAMA</t>
  </si>
  <si>
    <t>Consignaciones - Inscripciones</t>
  </si>
  <si>
    <t>Saldo a la fecha</t>
  </si>
  <si>
    <t>Intereses corrientes - Cuenta Ahorros</t>
  </si>
  <si>
    <t>VENTA 02 CAMISETAS LM</t>
  </si>
  <si>
    <t>VENTA 30 JERSEY POR 50.000 ANIVERSARIO EN RALLY SUDAMERICANO</t>
  </si>
  <si>
    <t>VENTA 02 BALACLAVAS</t>
  </si>
  <si>
    <t>EFECTIVO PESOS</t>
  </si>
  <si>
    <t>EFECTIVO DOLARES 229</t>
  </si>
  <si>
    <t>PAGO PARCHES APOYO CUBA</t>
  </si>
  <si>
    <t>VENTA 02 CAMISETAS LM ROBINSON</t>
  </si>
  <si>
    <t>ROBINSON ALEJANDRO GALVIS PARRA</t>
  </si>
  <si>
    <t>INFORME DE TESORERIA - CORTE AGO 30  / 2025</t>
  </si>
  <si>
    <t>INFORME DE TESORERIA - CORTE  SEP 30 / 2025</t>
  </si>
  <si>
    <t>INFORME DE TESORERIA - CORTE  OCT 31 / 2025</t>
  </si>
  <si>
    <t>Faltante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</si>
</sst>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_-;_-@_-"/>
    <numFmt numFmtId="165" formatCode="_-* #,##0_-;\-* #,##0_-;_-* &quot;-&quot;_-;_-@_-"/>
    <numFmt numFmtId="166" formatCode="[$$-240A]#,##0"/>
    <numFmt numFmtId="167" formatCode="_-&quot;$&quot;\ * #,##0.00_-;\-&quot;$&quot;\ * #,##0.00_-;_-&quot;$&quot;\ * &quot;-&quot;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330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02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4" xfId="0" applyFill="1" applyBorder="1"/>
    <xf numFmtId="0" fontId="0" fillId="3" borderId="7" xfId="0" applyFill="1" applyBorder="1"/>
    <xf numFmtId="0" fontId="0" fillId="3" borderId="8" xfId="0" applyFill="1" applyBorder="1"/>
    <xf numFmtId="0" fontId="9" fillId="0" borderId="0" xfId="0" applyFont="1"/>
    <xf numFmtId="0" fontId="4" fillId="0" borderId="13" xfId="0" applyFont="1" applyBorder="1"/>
    <xf numFmtId="164" fontId="0" fillId="0" borderId="13" xfId="2" applyFont="1" applyBorder="1"/>
    <xf numFmtId="164" fontId="0" fillId="0" borderId="13" xfId="2" applyFont="1" applyFill="1" applyBorder="1" applyAlignment="1"/>
    <xf numFmtId="164" fontId="0" fillId="0" borderId="0" xfId="0" applyNumberFormat="1"/>
    <xf numFmtId="0" fontId="10" fillId="0" borderId="0" xfId="0" applyFont="1"/>
    <xf numFmtId="167" fontId="11" fillId="0" borderId="13" xfId="2" applyNumberFormat="1" applyFont="1" applyFill="1" applyBorder="1" applyAlignment="1">
      <alignment horizontal="center"/>
    </xf>
    <xf numFmtId="0" fontId="12" fillId="0" borderId="0" xfId="0" applyFont="1"/>
    <xf numFmtId="164" fontId="11" fillId="0" borderId="13" xfId="2" applyFont="1" applyBorder="1" applyAlignment="1">
      <alignment horizontal="right"/>
    </xf>
    <xf numFmtId="0" fontId="11" fillId="0" borderId="13" xfId="0" quotePrefix="1" applyFont="1" applyBorder="1" applyAlignment="1">
      <alignment horizontal="right"/>
    </xf>
    <xf numFmtId="164" fontId="11" fillId="0" borderId="13" xfId="2" applyFont="1" applyFill="1" applyBorder="1" applyAlignment="1">
      <alignment horizontal="center"/>
    </xf>
    <xf numFmtId="0" fontId="0" fillId="0" borderId="13" xfId="0" applyBorder="1"/>
    <xf numFmtId="0" fontId="13" fillId="4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/>
    </xf>
    <xf numFmtId="164" fontId="13" fillId="7" borderId="11" xfId="2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7" borderId="13" xfId="0" applyFont="1" applyFill="1" applyBorder="1" applyAlignment="1">
      <alignment horizontal="center" vertical="center" wrapText="1"/>
    </xf>
    <xf numFmtId="164" fontId="17" fillId="7" borderId="13" xfId="2" applyFont="1" applyFill="1" applyBorder="1" applyAlignment="1">
      <alignment horizontal="center" vertical="center" wrapText="1"/>
    </xf>
    <xf numFmtId="165" fontId="17" fillId="7" borderId="11" xfId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6" fontId="13" fillId="0" borderId="0" xfId="0" applyNumberFormat="1" applyFont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164" fontId="11" fillId="0" borderId="13" xfId="0" applyNumberFormat="1" applyFont="1" applyBorder="1"/>
    <xf numFmtId="0" fontId="14" fillId="7" borderId="13" xfId="0" applyFont="1" applyFill="1" applyBorder="1" applyAlignment="1">
      <alignment horizontal="center" vertical="center" wrapText="1"/>
    </xf>
    <xf numFmtId="165" fontId="17" fillId="7" borderId="13" xfId="1" applyFont="1" applyFill="1" applyBorder="1" applyAlignment="1">
      <alignment horizontal="center" vertical="center" wrapText="1"/>
    </xf>
    <xf numFmtId="164" fontId="13" fillId="0" borderId="13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7" fillId="0" borderId="0" xfId="2" applyFont="1" applyFill="1" applyBorder="1" applyAlignment="1">
      <alignment horizontal="center" vertical="center" wrapText="1"/>
    </xf>
    <xf numFmtId="165" fontId="17" fillId="0" borderId="0" xfId="1" applyFont="1" applyFill="1" applyBorder="1" applyAlignment="1">
      <alignment horizontal="center" vertical="center" wrapText="1"/>
    </xf>
    <xf numFmtId="0" fontId="15" fillId="0" borderId="13" xfId="0" applyFont="1" applyBorder="1"/>
    <xf numFmtId="0" fontId="0" fillId="0" borderId="13" xfId="0" applyBorder="1" applyAlignment="1">
      <alignment horizontal="left"/>
    </xf>
    <xf numFmtId="0" fontId="17" fillId="0" borderId="13" xfId="0" applyFont="1" applyBorder="1" applyAlignment="1">
      <alignment horizontal="center" vertical="center"/>
    </xf>
    <xf numFmtId="0" fontId="0" fillId="3" borderId="15" xfId="0" applyFill="1" applyBorder="1"/>
    <xf numFmtId="0" fontId="2" fillId="0" borderId="0" xfId="0" applyFont="1"/>
    <xf numFmtId="0" fontId="18" fillId="0" borderId="0" xfId="0" applyFont="1"/>
    <xf numFmtId="164" fontId="0" fillId="0" borderId="13" xfId="2" applyFont="1" applyFill="1" applyBorder="1"/>
    <xf numFmtId="165" fontId="0" fillId="0" borderId="0" xfId="0" applyNumberFormat="1"/>
    <xf numFmtId="0" fontId="4" fillId="0" borderId="0" xfId="0" applyFont="1"/>
    <xf numFmtId="0" fontId="19" fillId="8" borderId="13" xfId="0" applyFont="1" applyFill="1" applyBorder="1" applyAlignment="1">
      <alignment horizontal="center"/>
    </xf>
    <xf numFmtId="0" fontId="0" fillId="0" borderId="17" xfId="0" applyBorder="1"/>
    <xf numFmtId="164" fontId="0" fillId="3" borderId="13" xfId="2" applyFont="1" applyFill="1" applyBorder="1"/>
    <xf numFmtId="0" fontId="0" fillId="3" borderId="13" xfId="0" applyFill="1" applyBorder="1"/>
    <xf numFmtId="0" fontId="15" fillId="3" borderId="13" xfId="0" applyFont="1" applyFill="1" applyBorder="1"/>
    <xf numFmtId="0" fontId="0" fillId="3" borderId="13" xfId="0" applyFill="1" applyBorder="1" applyAlignment="1">
      <alignment horizontal="left"/>
    </xf>
    <xf numFmtId="164" fontId="2" fillId="0" borderId="0" xfId="0" applyNumberFormat="1" applyFont="1"/>
    <xf numFmtId="3" fontId="2" fillId="0" borderId="0" xfId="0" applyNumberFormat="1" applyFont="1"/>
    <xf numFmtId="0" fontId="0" fillId="9" borderId="13" xfId="0" applyFill="1" applyBorder="1" applyAlignment="1">
      <alignment horizontal="left"/>
    </xf>
    <xf numFmtId="0" fontId="15" fillId="9" borderId="13" xfId="0" applyFont="1" applyFill="1" applyBorder="1"/>
    <xf numFmtId="0" fontId="0" fillId="9" borderId="13" xfId="0" applyFill="1" applyBorder="1"/>
    <xf numFmtId="164" fontId="0" fillId="9" borderId="13" xfId="2" applyFont="1" applyFill="1" applyBorder="1"/>
    <xf numFmtId="164" fontId="21" fillId="10" borderId="0" xfId="0" applyNumberFormat="1" applyFont="1" applyFill="1"/>
    <xf numFmtId="164" fontId="21" fillId="11" borderId="0" xfId="0" applyNumberFormat="1" applyFont="1" applyFill="1"/>
    <xf numFmtId="164" fontId="0" fillId="3" borderId="0" xfId="0" applyNumberFormat="1" applyFill="1"/>
    <xf numFmtId="164" fontId="0" fillId="9" borderId="13" xfId="2" applyFont="1" applyFill="1" applyBorder="1" applyAlignment="1"/>
    <xf numFmtId="0" fontId="20" fillId="0" borderId="0" xfId="0" applyFont="1"/>
    <xf numFmtId="3" fontId="0" fillId="10" borderId="0" xfId="0" applyNumberFormat="1" applyFill="1"/>
    <xf numFmtId="164" fontId="0" fillId="11" borderId="0" xfId="0" applyNumberFormat="1" applyFill="1"/>
    <xf numFmtId="0" fontId="0" fillId="3" borderId="0" xfId="0" applyFill="1"/>
    <xf numFmtId="164" fontId="0" fillId="10" borderId="0" xfId="0" applyNumberFormat="1" applyFill="1"/>
    <xf numFmtId="0" fontId="11" fillId="0" borderId="0" xfId="0" applyFont="1"/>
    <xf numFmtId="3" fontId="2" fillId="12" borderId="0" xfId="0" applyNumberFormat="1" applyFont="1" applyFill="1"/>
    <xf numFmtId="164" fontId="0" fillId="9" borderId="16" xfId="2" applyFont="1" applyFill="1" applyBorder="1"/>
    <xf numFmtId="164" fontId="0" fillId="0" borderId="16" xfId="2" applyFont="1" applyBorder="1"/>
    <xf numFmtId="164" fontId="0" fillId="0" borderId="16" xfId="2" applyFont="1" applyFill="1" applyBorder="1"/>
    <xf numFmtId="14" fontId="15" fillId="0" borderId="18" xfId="0" applyNumberFormat="1" applyFont="1" applyBorder="1" applyAlignment="1">
      <alignment horizontal="center" vertical="center"/>
    </xf>
    <xf numFmtId="0" fontId="0" fillId="9" borderId="4" xfId="0" applyFill="1" applyBorder="1"/>
    <xf numFmtId="14" fontId="15" fillId="0" borderId="19" xfId="0" applyNumberFormat="1" applyFont="1" applyBorder="1" applyAlignment="1">
      <alignment horizontal="center" vertical="center"/>
    </xf>
    <xf numFmtId="0" fontId="0" fillId="9" borderId="15" xfId="0" applyFill="1" applyBorder="1"/>
    <xf numFmtId="14" fontId="15" fillId="0" borderId="13" xfId="0" applyNumberFormat="1" applyFont="1" applyBorder="1" applyAlignment="1">
      <alignment horizontal="center" vertical="center"/>
    </xf>
    <xf numFmtId="0" fontId="10" fillId="0" borderId="13" xfId="0" applyFont="1" applyBorder="1"/>
    <xf numFmtId="0" fontId="1" fillId="0" borderId="0" xfId="0" applyFont="1"/>
    <xf numFmtId="164" fontId="2" fillId="0" borderId="0" xfId="2" applyFont="1"/>
    <xf numFmtId="164" fontId="0" fillId="0" borderId="0" xfId="2" applyFont="1"/>
    <xf numFmtId="0" fontId="4" fillId="0" borderId="13" xfId="0" applyFont="1" applyBorder="1" applyAlignment="1">
      <alignment horizontal="left"/>
    </xf>
    <xf numFmtId="164" fontId="2" fillId="0" borderId="13" xfId="2" applyFont="1" applyBorder="1"/>
    <xf numFmtId="0" fontId="11" fillId="0" borderId="13" xfId="0" applyFont="1" applyBorder="1"/>
    <xf numFmtId="0" fontId="13" fillId="0" borderId="13" xfId="0" applyFont="1" applyBorder="1"/>
    <xf numFmtId="164" fontId="13" fillId="13" borderId="13" xfId="2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4" fontId="15" fillId="0" borderId="0" xfId="0" applyNumberFormat="1" applyFont="1" applyBorder="1" applyAlignment="1">
      <alignment horizontal="center" vertical="center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125506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768928" cy="85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125506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768928" cy="8589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125506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768928" cy="8589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176306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2FD0C508-D1F5-FF4E-96E0-06A86C9A6B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886403" cy="852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5</xdr:row>
      <xdr:rowOff>36606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434F4D8F-273D-C240-8214-DCD06A3EC0E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886403" cy="903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0</xdr:col>
      <xdr:colOff>844550</xdr:colOff>
      <xdr:row>4</xdr:row>
      <xdr:rowOff>139700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B2CDA899-C0A9-FB4A-AAB1-8801810F1C9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57463" cy="765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06B6104-1A28-4014-8C9B-ACD1580F1F3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12" y="187325"/>
          <a:ext cx="700313" cy="774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F58060E-978A-4C67-AC70-49F46DEFC43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12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2523E8C-AE87-4554-A395-BD528C2AB8C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CF1756D-DBCB-4437-B464-929ACD9D3AA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5264D3B-EA35-4DC1-91EF-49E4F37B30C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8E63045-DCA4-2047-80D5-A32BD49D951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57463" cy="765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2BE972B-474E-4047-8063-6ED1E23B0F9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0313" cy="822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2FD27C2-4114-2044-A41F-652EDB35AC5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0313" cy="81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4" zoomScale="91" zoomScaleNormal="91" zoomScaleSheetLayoutView="85" workbookViewId="0">
      <selection activeCell="I17" sqref="I17"/>
    </sheetView>
  </sheetViews>
  <sheetFormatPr baseColWidth="10" defaultColWidth="11.42578125" defaultRowHeight="15" x14ac:dyDescent="0.25"/>
  <cols>
    <col min="1" max="1" width="12.7109375" customWidth="1"/>
    <col min="2" max="2" width="53.42578125" customWidth="1"/>
    <col min="3" max="3" width="15.7109375" customWidth="1"/>
    <col min="4" max="4" width="14" customWidth="1"/>
    <col min="5" max="5" width="15.42578125" customWidth="1"/>
    <col min="6" max="6" width="14.85546875" customWidth="1"/>
  </cols>
  <sheetData>
    <row r="1" spans="1:7" x14ac:dyDescent="0.25">
      <c r="A1" s="1"/>
      <c r="B1" s="1"/>
      <c r="C1" s="1"/>
      <c r="D1" s="1"/>
    </row>
    <row r="2" spans="1:7" x14ac:dyDescent="0.25">
      <c r="A2" s="2"/>
      <c r="B2" s="89" t="s">
        <v>0</v>
      </c>
      <c r="C2" s="90"/>
      <c r="D2" s="91"/>
      <c r="E2" s="3"/>
    </row>
    <row r="3" spans="1:7" x14ac:dyDescent="0.25">
      <c r="A3" s="2"/>
      <c r="B3" s="92" t="s">
        <v>1</v>
      </c>
      <c r="C3" s="93"/>
      <c r="D3" s="94"/>
      <c r="E3" s="4"/>
    </row>
    <row r="4" spans="1:7" ht="19.5" customHeight="1" x14ac:dyDescent="0.25">
      <c r="A4" s="2"/>
      <c r="B4" s="95" t="s">
        <v>2</v>
      </c>
      <c r="C4" s="96"/>
      <c r="D4" s="97"/>
      <c r="E4" s="5"/>
    </row>
    <row r="5" spans="1:7" x14ac:dyDescent="0.25">
      <c r="A5" s="1"/>
      <c r="B5" s="1"/>
      <c r="C5" s="1"/>
      <c r="D5" s="1"/>
    </row>
    <row r="6" spans="1:7" s="6" customFormat="1" ht="20.25" customHeight="1" x14ac:dyDescent="0.3">
      <c r="A6" s="98" t="s">
        <v>3</v>
      </c>
      <c r="B6" s="99"/>
      <c r="C6" s="99"/>
      <c r="D6" s="99"/>
      <c r="E6" s="99"/>
      <c r="F6"/>
    </row>
    <row r="7" spans="1:7" x14ac:dyDescent="0.25">
      <c r="A7" s="1"/>
      <c r="B7" s="1"/>
      <c r="C7" s="1"/>
      <c r="D7" s="1"/>
    </row>
    <row r="8" spans="1:7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21" t="s">
        <v>8</v>
      </c>
    </row>
    <row r="9" spans="1:7" x14ac:dyDescent="0.25">
      <c r="A9" s="22"/>
      <c r="B9" s="17" t="s">
        <v>9</v>
      </c>
      <c r="C9" s="8">
        <v>2000000</v>
      </c>
      <c r="D9" s="9"/>
      <c r="E9" s="23"/>
    </row>
    <row r="10" spans="1:7" x14ac:dyDescent="0.25">
      <c r="A10" s="22"/>
      <c r="B10" s="17" t="s">
        <v>10</v>
      </c>
      <c r="C10" s="8">
        <v>60000</v>
      </c>
      <c r="D10" s="8"/>
      <c r="E10" s="23"/>
    </row>
    <row r="11" spans="1:7" x14ac:dyDescent="0.25">
      <c r="A11" s="22"/>
      <c r="B11" s="17" t="s">
        <v>11</v>
      </c>
      <c r="C11" s="8">
        <v>60000</v>
      </c>
      <c r="D11" s="9"/>
      <c r="E11" s="23"/>
    </row>
    <row r="12" spans="1:7" x14ac:dyDescent="0.25">
      <c r="A12" s="22"/>
      <c r="B12" s="17"/>
      <c r="C12" s="8"/>
      <c r="D12" s="9"/>
      <c r="E12" s="23"/>
      <c r="G12" s="10"/>
    </row>
    <row r="13" spans="1:7" s="11" customFormat="1" ht="15.75" x14ac:dyDescent="0.25">
      <c r="A13" s="22"/>
      <c r="B13" s="17"/>
      <c r="C13" s="8"/>
      <c r="D13" s="9"/>
      <c r="E13" s="23"/>
      <c r="F13"/>
      <c r="G13" s="55"/>
    </row>
    <row r="14" spans="1:7" x14ac:dyDescent="0.25">
      <c r="A14" s="22"/>
      <c r="B14" s="17"/>
      <c r="C14" s="8"/>
      <c r="D14" s="9"/>
      <c r="E14" s="23"/>
    </row>
    <row r="15" spans="1:7" s="11" customFormat="1" ht="15.75" x14ac:dyDescent="0.25">
      <c r="A15" s="22"/>
      <c r="B15" s="17"/>
      <c r="C15" s="8"/>
      <c r="D15" s="9"/>
      <c r="E15" s="23"/>
      <c r="F15"/>
      <c r="G15" s="55"/>
    </row>
    <row r="16" spans="1:7" x14ac:dyDescent="0.25">
      <c r="A16" s="22"/>
      <c r="B16" s="17"/>
      <c r="C16" s="8"/>
      <c r="D16" s="9"/>
      <c r="E16" s="23"/>
    </row>
    <row r="17" spans="1:5" ht="15.75" x14ac:dyDescent="0.25">
      <c r="A17" s="24"/>
      <c r="B17" s="25" t="s">
        <v>12</v>
      </c>
      <c r="C17" s="26">
        <f>SUM(C9:C16)</f>
        <v>2120000</v>
      </c>
      <c r="D17" s="26">
        <f>SUM(D9:D16)</f>
        <v>0</v>
      </c>
      <c r="E17" s="27">
        <f>SUM(E9:E16)</f>
        <v>0</v>
      </c>
    </row>
    <row r="18" spans="1:5" x14ac:dyDescent="0.25">
      <c r="A18" s="28"/>
      <c r="B18" s="29"/>
      <c r="C18" s="30"/>
      <c r="D18" s="30"/>
    </row>
    <row r="19" spans="1:5" ht="15.75" x14ac:dyDescent="0.25">
      <c r="A19" s="28"/>
      <c r="B19" s="31" t="s">
        <v>13</v>
      </c>
      <c r="C19" s="16">
        <f>+E9</f>
        <v>0</v>
      </c>
      <c r="D19" s="30"/>
      <c r="E19" s="10"/>
    </row>
    <row r="20" spans="1:5" ht="15.75" x14ac:dyDescent="0.25">
      <c r="A20" s="28"/>
      <c r="B20" s="31" t="s">
        <v>6</v>
      </c>
      <c r="C20" s="16">
        <f>C17</f>
        <v>2120000</v>
      </c>
      <c r="D20" s="30"/>
    </row>
    <row r="21" spans="1:5" ht="15.75" x14ac:dyDescent="0.25">
      <c r="A21" s="28"/>
      <c r="B21" s="15" t="s">
        <v>14</v>
      </c>
      <c r="C21" s="14" t="s">
        <v>15</v>
      </c>
      <c r="D21" s="30"/>
    </row>
    <row r="22" spans="1:5" ht="15.75" x14ac:dyDescent="0.25">
      <c r="A22" s="28"/>
      <c r="B22" s="31"/>
      <c r="C22" s="12"/>
      <c r="D22" s="30"/>
    </row>
    <row r="23" spans="1:5" ht="15.75" x14ac:dyDescent="0.25">
      <c r="A23" s="28"/>
      <c r="B23" s="26" t="s">
        <v>16</v>
      </c>
      <c r="C23" s="26">
        <f>SUM(C19:C22)</f>
        <v>2120000</v>
      </c>
      <c r="D23" s="30"/>
    </row>
    <row r="24" spans="1:5" ht="15.75" x14ac:dyDescent="0.25">
      <c r="A24" s="28"/>
      <c r="B24" s="32" t="s">
        <v>7</v>
      </c>
      <c r="C24" s="16">
        <f>+D17</f>
        <v>0</v>
      </c>
      <c r="D24" s="30"/>
    </row>
    <row r="25" spans="1:5" ht="15.75" x14ac:dyDescent="0.25">
      <c r="B25" s="32"/>
      <c r="C25" s="33"/>
    </row>
    <row r="26" spans="1:5" ht="15.75" x14ac:dyDescent="0.25">
      <c r="B26" s="26" t="s">
        <v>17</v>
      </c>
      <c r="C26" s="26">
        <f>C23-C25</f>
        <v>2120000</v>
      </c>
    </row>
    <row r="29" spans="1:5" x14ac:dyDescent="0.25">
      <c r="B29" s="13" t="s">
        <v>18</v>
      </c>
    </row>
    <row r="30" spans="1:5" x14ac:dyDescent="0.25">
      <c r="B30" s="13" t="s">
        <v>19</v>
      </c>
    </row>
    <row r="31" spans="1:5" x14ac:dyDescent="0.25">
      <c r="B31" s="13"/>
    </row>
  </sheetData>
  <mergeCells count="4">
    <mergeCell ref="B2:D2"/>
    <mergeCell ref="B3:D3"/>
    <mergeCell ref="B4:D4"/>
    <mergeCell ref="A6:E6"/>
  </mergeCells>
  <pageMargins left="0.51181102362204722" right="0.11811023622047245" top="0.55118110236220474" bottom="0.55118110236220474" header="0.31496062992125984" footer="0.31496062992125984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6" zoomScale="91" zoomScaleNormal="91" zoomScaleSheetLayoutView="85" workbookViewId="0">
      <selection activeCell="E18" sqref="E18"/>
    </sheetView>
  </sheetViews>
  <sheetFormatPr baseColWidth="10" defaultColWidth="11.42578125" defaultRowHeight="15" x14ac:dyDescent="0.25"/>
  <cols>
    <col min="1" max="1" width="12.7109375" customWidth="1"/>
    <col min="2" max="2" width="53.42578125" customWidth="1"/>
    <col min="3" max="3" width="15.7109375" customWidth="1"/>
    <col min="4" max="4" width="14" customWidth="1"/>
    <col min="5" max="5" width="15.42578125" customWidth="1"/>
    <col min="6" max="6" width="14.85546875" customWidth="1"/>
  </cols>
  <sheetData>
    <row r="1" spans="1:7" x14ac:dyDescent="0.25">
      <c r="A1" s="1"/>
      <c r="B1" s="1"/>
      <c r="C1" s="1"/>
      <c r="D1" s="1"/>
    </row>
    <row r="2" spans="1:7" x14ac:dyDescent="0.25">
      <c r="A2" s="2"/>
      <c r="B2" s="89" t="s">
        <v>0</v>
      </c>
      <c r="C2" s="90"/>
      <c r="D2" s="91"/>
      <c r="E2" s="3"/>
    </row>
    <row r="3" spans="1:7" x14ac:dyDescent="0.25">
      <c r="A3" s="2"/>
      <c r="B3" s="92" t="s">
        <v>1</v>
      </c>
      <c r="C3" s="93"/>
      <c r="D3" s="94"/>
      <c r="E3" s="4"/>
    </row>
    <row r="4" spans="1:7" ht="19.5" customHeight="1" x14ac:dyDescent="0.25">
      <c r="A4" s="2"/>
      <c r="B4" s="95" t="s">
        <v>2</v>
      </c>
      <c r="C4" s="96"/>
      <c r="D4" s="97"/>
      <c r="E4" s="5"/>
    </row>
    <row r="5" spans="1:7" x14ac:dyDescent="0.25">
      <c r="A5" s="1"/>
      <c r="B5" s="1"/>
      <c r="C5" s="1"/>
      <c r="D5" s="1"/>
    </row>
    <row r="6" spans="1:7" s="6" customFormat="1" ht="20.25" customHeight="1" x14ac:dyDescent="0.3">
      <c r="A6" s="98" t="s">
        <v>3</v>
      </c>
      <c r="B6" s="99"/>
      <c r="C6" s="99"/>
      <c r="D6" s="99"/>
      <c r="E6" s="99"/>
      <c r="F6"/>
    </row>
    <row r="7" spans="1:7" x14ac:dyDescent="0.25">
      <c r="A7" s="1"/>
      <c r="B7" s="1"/>
      <c r="C7" s="1"/>
      <c r="D7" s="1"/>
    </row>
    <row r="8" spans="1:7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21" t="s">
        <v>8</v>
      </c>
    </row>
    <row r="9" spans="1:7" x14ac:dyDescent="0.25">
      <c r="A9" s="22"/>
      <c r="B9" s="7" t="s">
        <v>20</v>
      </c>
      <c r="C9" s="8"/>
      <c r="D9" s="9"/>
      <c r="E9" s="23">
        <v>2120000</v>
      </c>
    </row>
    <row r="10" spans="1:7" x14ac:dyDescent="0.25">
      <c r="A10" s="22">
        <v>45439</v>
      </c>
      <c r="B10" s="17" t="s">
        <v>21</v>
      </c>
      <c r="C10" s="8">
        <v>50000</v>
      </c>
      <c r="D10" s="8"/>
      <c r="E10" s="23"/>
    </row>
    <row r="11" spans="1:7" x14ac:dyDescent="0.25">
      <c r="A11" s="22">
        <v>45439</v>
      </c>
      <c r="B11" s="17" t="s">
        <v>22</v>
      </c>
      <c r="C11" s="8">
        <v>80000</v>
      </c>
      <c r="D11" s="9"/>
      <c r="E11" s="23"/>
    </row>
    <row r="12" spans="1:7" x14ac:dyDescent="0.25">
      <c r="A12" s="22">
        <v>45436</v>
      </c>
      <c r="B12" s="17" t="s">
        <v>23</v>
      </c>
      <c r="C12" s="8">
        <v>110000</v>
      </c>
      <c r="D12" s="9"/>
      <c r="E12" s="23"/>
      <c r="G12" s="10"/>
    </row>
    <row r="13" spans="1:7" s="11" customFormat="1" ht="15.75" x14ac:dyDescent="0.25">
      <c r="A13" s="22"/>
      <c r="B13" s="17"/>
      <c r="C13" s="8"/>
      <c r="D13" s="9"/>
      <c r="E13" s="23"/>
      <c r="F13"/>
      <c r="G13" s="55"/>
    </row>
    <row r="14" spans="1:7" x14ac:dyDescent="0.25">
      <c r="A14" s="22"/>
      <c r="B14" s="17"/>
      <c r="C14" s="8"/>
      <c r="D14" s="9"/>
      <c r="E14" s="23"/>
    </row>
    <row r="15" spans="1:7" s="11" customFormat="1" ht="15.75" x14ac:dyDescent="0.25">
      <c r="A15" s="22"/>
      <c r="B15" s="17"/>
      <c r="C15" s="8"/>
      <c r="D15" s="9"/>
      <c r="E15" s="23"/>
      <c r="F15"/>
      <c r="G15" s="55"/>
    </row>
    <row r="16" spans="1:7" x14ac:dyDescent="0.25">
      <c r="A16" s="22"/>
      <c r="B16" s="17"/>
      <c r="C16" s="8"/>
      <c r="D16" s="9"/>
      <c r="E16" s="23"/>
    </row>
    <row r="17" spans="1:5" ht="15.75" x14ac:dyDescent="0.25">
      <c r="A17" s="24"/>
      <c r="B17" s="25" t="s">
        <v>12</v>
      </c>
      <c r="C17" s="26">
        <f>SUM(C9:C16)</f>
        <v>240000</v>
      </c>
      <c r="D17" s="26">
        <f>SUM(D9:D16)</f>
        <v>0</v>
      </c>
      <c r="E17" s="27">
        <v>2360000</v>
      </c>
    </row>
    <row r="18" spans="1:5" x14ac:dyDescent="0.25">
      <c r="A18" s="28"/>
      <c r="B18" s="29"/>
      <c r="C18" s="30"/>
      <c r="D18" s="30"/>
    </row>
    <row r="19" spans="1:5" ht="15.75" x14ac:dyDescent="0.25">
      <c r="A19" s="28"/>
      <c r="B19" s="31" t="s">
        <v>13</v>
      </c>
      <c r="C19" s="16">
        <f>+E9</f>
        <v>2120000</v>
      </c>
      <c r="D19" s="30"/>
      <c r="E19" s="10"/>
    </row>
    <row r="20" spans="1:5" ht="15.75" x14ac:dyDescent="0.25">
      <c r="A20" s="28"/>
      <c r="B20" s="31" t="s">
        <v>6</v>
      </c>
      <c r="C20" s="16">
        <f>C17</f>
        <v>240000</v>
      </c>
      <c r="D20" s="30"/>
    </row>
    <row r="21" spans="1:5" ht="15.75" x14ac:dyDescent="0.25">
      <c r="A21" s="28"/>
      <c r="B21" s="15" t="s">
        <v>14</v>
      </c>
      <c r="C21" s="14" t="s">
        <v>15</v>
      </c>
      <c r="D21" s="30"/>
    </row>
    <row r="22" spans="1:5" ht="15.75" x14ac:dyDescent="0.25">
      <c r="A22" s="28"/>
      <c r="B22" s="31"/>
      <c r="C22" s="12"/>
      <c r="D22" s="30"/>
    </row>
    <row r="23" spans="1:5" ht="15.75" x14ac:dyDescent="0.25">
      <c r="A23" s="28"/>
      <c r="B23" s="26" t="s">
        <v>16</v>
      </c>
      <c r="C23" s="26">
        <f>SUM(C19:C22)</f>
        <v>2360000</v>
      </c>
      <c r="D23" s="30"/>
    </row>
    <row r="24" spans="1:5" ht="15.75" x14ac:dyDescent="0.25">
      <c r="A24" s="28"/>
      <c r="B24" s="32" t="s">
        <v>7</v>
      </c>
      <c r="C24" s="16">
        <f>+D17</f>
        <v>0</v>
      </c>
      <c r="D24" s="30"/>
    </row>
    <row r="25" spans="1:5" ht="15.75" x14ac:dyDescent="0.25">
      <c r="B25" s="32" t="s">
        <v>24</v>
      </c>
      <c r="C25" s="33">
        <v>1853637</v>
      </c>
    </row>
    <row r="26" spans="1:5" ht="15.75" x14ac:dyDescent="0.25">
      <c r="B26" s="26" t="s">
        <v>17</v>
      </c>
      <c r="C26" s="26">
        <v>2360000</v>
      </c>
    </row>
    <row r="29" spans="1:5" x14ac:dyDescent="0.25">
      <c r="B29" s="13" t="s">
        <v>18</v>
      </c>
    </row>
    <row r="30" spans="1:5" x14ac:dyDescent="0.25">
      <c r="B30" s="13" t="s">
        <v>19</v>
      </c>
    </row>
    <row r="31" spans="1:5" x14ac:dyDescent="0.25">
      <c r="B31" s="13"/>
    </row>
  </sheetData>
  <mergeCells count="4">
    <mergeCell ref="B2:D2"/>
    <mergeCell ref="B3:D3"/>
    <mergeCell ref="B4:D4"/>
    <mergeCell ref="A6:E6"/>
  </mergeCells>
  <pageMargins left="0.51181102362204722" right="0.11811023622047245" top="0.55118110236220474" bottom="0.55118110236220474" header="0.31496062992125984" footer="0.31496062992125984"/>
  <pageSetup paperSize="9"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topLeftCell="A15" zoomScale="91" zoomScaleNormal="91" zoomScaleSheetLayoutView="85" workbookViewId="0">
      <selection activeCell="E33" sqref="E33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5.42578125" customWidth="1"/>
    <col min="6" max="6" width="14.85546875" customWidth="1"/>
  </cols>
  <sheetData>
    <row r="1" spans="1:7" x14ac:dyDescent="0.25">
      <c r="A1" s="1"/>
      <c r="B1" s="1"/>
      <c r="C1" s="1"/>
      <c r="D1" s="1"/>
    </row>
    <row r="2" spans="1:7" x14ac:dyDescent="0.25">
      <c r="A2" s="2"/>
      <c r="B2" s="89" t="s">
        <v>0</v>
      </c>
      <c r="C2" s="90"/>
      <c r="D2" s="91"/>
      <c r="E2" s="3"/>
    </row>
    <row r="3" spans="1:7" x14ac:dyDescent="0.25">
      <c r="A3" s="2"/>
      <c r="B3" s="92" t="s">
        <v>1</v>
      </c>
      <c r="C3" s="93"/>
      <c r="D3" s="94"/>
      <c r="E3" s="4"/>
    </row>
    <row r="4" spans="1:7" ht="19.5" customHeight="1" x14ac:dyDescent="0.25">
      <c r="A4" s="2"/>
      <c r="B4" s="95" t="s">
        <v>2</v>
      </c>
      <c r="C4" s="96"/>
      <c r="D4" s="97"/>
      <c r="E4" s="43"/>
    </row>
    <row r="5" spans="1:7" x14ac:dyDescent="0.25">
      <c r="A5" s="1"/>
      <c r="B5" s="1"/>
      <c r="C5" s="1"/>
      <c r="D5" s="1"/>
    </row>
    <row r="6" spans="1:7" s="6" customFormat="1" ht="20.25" customHeight="1" x14ac:dyDescent="0.3">
      <c r="A6" s="98" t="s">
        <v>25</v>
      </c>
      <c r="B6" s="99"/>
      <c r="C6" s="99"/>
      <c r="D6" s="99"/>
      <c r="E6" s="100"/>
      <c r="F6"/>
    </row>
    <row r="7" spans="1:7" x14ac:dyDescent="0.25">
      <c r="A7" s="1"/>
      <c r="B7" s="1"/>
      <c r="C7" s="1"/>
      <c r="D7" s="1"/>
    </row>
    <row r="8" spans="1:7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7" x14ac:dyDescent="0.25">
      <c r="A9" s="22"/>
      <c r="B9" s="7" t="s">
        <v>13</v>
      </c>
      <c r="C9" s="8"/>
      <c r="D9" s="9"/>
      <c r="E9" s="36">
        <v>2360000</v>
      </c>
    </row>
    <row r="10" spans="1:7" x14ac:dyDescent="0.25">
      <c r="A10" s="22">
        <v>45454</v>
      </c>
      <c r="B10" s="17" t="s">
        <v>26</v>
      </c>
      <c r="C10" s="8">
        <v>160000</v>
      </c>
      <c r="D10" s="8"/>
      <c r="E10" s="36">
        <f>E9+C10-D10</f>
        <v>2520000</v>
      </c>
    </row>
    <row r="11" spans="1:7" x14ac:dyDescent="0.25">
      <c r="A11" s="22">
        <v>45457</v>
      </c>
      <c r="B11" s="41" t="s">
        <v>27</v>
      </c>
      <c r="C11" s="8">
        <v>1853637</v>
      </c>
      <c r="D11" s="8"/>
      <c r="E11" s="36">
        <f t="shared" ref="E11:E29" si="0">E10+C11-D11</f>
        <v>4373637</v>
      </c>
    </row>
    <row r="12" spans="1:7" x14ac:dyDescent="0.25">
      <c r="A12" s="22">
        <v>45461</v>
      </c>
      <c r="B12" s="17" t="s">
        <v>28</v>
      </c>
      <c r="C12" s="8"/>
      <c r="D12" s="9">
        <v>240000</v>
      </c>
      <c r="E12" s="36">
        <f t="shared" si="0"/>
        <v>4133637</v>
      </c>
      <c r="G12" s="10"/>
    </row>
    <row r="13" spans="1:7" s="11" customFormat="1" ht="15.75" x14ac:dyDescent="0.25">
      <c r="A13" s="22">
        <v>45461</v>
      </c>
      <c r="B13" s="17" t="s">
        <v>29</v>
      </c>
      <c r="C13" s="8"/>
      <c r="D13" s="9">
        <v>60000</v>
      </c>
      <c r="E13" s="36">
        <f t="shared" si="0"/>
        <v>4073637</v>
      </c>
      <c r="F13"/>
      <c r="G13" s="55"/>
    </row>
    <row r="14" spans="1:7" s="11" customFormat="1" ht="15.75" x14ac:dyDescent="0.25">
      <c r="A14" s="22">
        <v>45461</v>
      </c>
      <c r="B14" s="17" t="s">
        <v>30</v>
      </c>
      <c r="C14" s="8"/>
      <c r="D14" s="9">
        <v>60000</v>
      </c>
      <c r="E14" s="36">
        <f t="shared" si="0"/>
        <v>4013637</v>
      </c>
      <c r="F14"/>
      <c r="G14" s="55"/>
    </row>
    <row r="15" spans="1:7" s="11" customFormat="1" ht="15.75" x14ac:dyDescent="0.25">
      <c r="A15" s="22">
        <v>45461</v>
      </c>
      <c r="B15" s="17" t="s">
        <v>31</v>
      </c>
      <c r="C15" s="8"/>
      <c r="D15" s="9">
        <v>60000</v>
      </c>
      <c r="E15" s="36">
        <f t="shared" si="0"/>
        <v>3953637</v>
      </c>
      <c r="F15"/>
      <c r="G15" s="55"/>
    </row>
    <row r="16" spans="1:7" s="11" customFormat="1" ht="15.75" x14ac:dyDescent="0.25">
      <c r="A16" s="22">
        <v>45461</v>
      </c>
      <c r="B16" s="17" t="s">
        <v>32</v>
      </c>
      <c r="C16" s="8"/>
      <c r="D16" s="9">
        <v>60000</v>
      </c>
      <c r="E16" s="36">
        <f t="shared" si="0"/>
        <v>3893637</v>
      </c>
      <c r="F16"/>
      <c r="G16" s="55"/>
    </row>
    <row r="17" spans="1:7" s="11" customFormat="1" ht="15.75" x14ac:dyDescent="0.25">
      <c r="A17" s="22">
        <v>45461</v>
      </c>
      <c r="B17" s="17" t="s">
        <v>33</v>
      </c>
      <c r="C17" s="8"/>
      <c r="D17" s="9">
        <v>60000</v>
      </c>
      <c r="E17" s="36">
        <f t="shared" si="0"/>
        <v>3833637</v>
      </c>
      <c r="F17"/>
      <c r="G17" s="55"/>
    </row>
    <row r="18" spans="1:7" s="11" customFormat="1" ht="15.75" x14ac:dyDescent="0.25">
      <c r="A18" s="22">
        <v>45461</v>
      </c>
      <c r="B18" s="17" t="s">
        <v>34</v>
      </c>
      <c r="C18" s="8"/>
      <c r="D18" s="9">
        <v>60000</v>
      </c>
      <c r="E18" s="36">
        <f t="shared" si="0"/>
        <v>3773637</v>
      </c>
      <c r="F18"/>
      <c r="G18" s="55"/>
    </row>
    <row r="19" spans="1:7" s="11" customFormat="1" ht="15.75" x14ac:dyDescent="0.25">
      <c r="A19" s="22">
        <v>45461</v>
      </c>
      <c r="B19" s="17" t="s">
        <v>35</v>
      </c>
      <c r="C19" s="8"/>
      <c r="D19" s="9">
        <v>60000</v>
      </c>
      <c r="E19" s="36">
        <f t="shared" si="0"/>
        <v>3713637</v>
      </c>
      <c r="F19"/>
      <c r="G19" s="55"/>
    </row>
    <row r="20" spans="1:7" x14ac:dyDescent="0.25">
      <c r="A20" s="22">
        <v>45461</v>
      </c>
      <c r="B20" s="17" t="s">
        <v>36</v>
      </c>
      <c r="C20" s="8">
        <v>60000</v>
      </c>
      <c r="D20" s="9"/>
      <c r="E20" s="36">
        <f t="shared" si="0"/>
        <v>3773637</v>
      </c>
    </row>
    <row r="21" spans="1:7" x14ac:dyDescent="0.25">
      <c r="A21" s="22">
        <v>45461</v>
      </c>
      <c r="B21" s="17" t="s">
        <v>37</v>
      </c>
      <c r="C21" s="8">
        <v>60000</v>
      </c>
      <c r="D21" s="9"/>
      <c r="E21" s="36">
        <f t="shared" si="0"/>
        <v>3833637</v>
      </c>
    </row>
    <row r="22" spans="1:7" x14ac:dyDescent="0.25">
      <c r="A22" s="22">
        <v>45461</v>
      </c>
      <c r="B22" s="40" t="s">
        <v>38</v>
      </c>
      <c r="C22" s="8">
        <v>60000</v>
      </c>
      <c r="D22" s="9"/>
      <c r="E22" s="36">
        <f t="shared" si="0"/>
        <v>3893637</v>
      </c>
    </row>
    <row r="23" spans="1:7" x14ac:dyDescent="0.25">
      <c r="A23" s="22">
        <v>45461</v>
      </c>
      <c r="B23" s="17" t="s">
        <v>39</v>
      </c>
      <c r="C23" s="8">
        <v>60000</v>
      </c>
      <c r="D23" s="9"/>
      <c r="E23" s="36">
        <f t="shared" si="0"/>
        <v>3953637</v>
      </c>
    </row>
    <row r="24" spans="1:7" x14ac:dyDescent="0.25">
      <c r="A24" s="22">
        <v>45461</v>
      </c>
      <c r="B24" s="17" t="s">
        <v>40</v>
      </c>
      <c r="C24" s="8">
        <v>60000</v>
      </c>
      <c r="D24" s="9"/>
      <c r="E24" s="36">
        <f t="shared" si="0"/>
        <v>4013637</v>
      </c>
    </row>
    <row r="25" spans="1:7" x14ac:dyDescent="0.25">
      <c r="A25" s="22">
        <v>45461</v>
      </c>
      <c r="B25" s="40" t="s">
        <v>41</v>
      </c>
      <c r="C25" s="8">
        <v>60000</v>
      </c>
      <c r="D25" s="9"/>
      <c r="E25" s="36">
        <f t="shared" si="0"/>
        <v>4073637</v>
      </c>
    </row>
    <row r="26" spans="1:7" x14ac:dyDescent="0.25">
      <c r="A26" s="22">
        <v>45461</v>
      </c>
      <c r="B26" s="40" t="s">
        <v>42</v>
      </c>
      <c r="C26" s="8">
        <v>60000</v>
      </c>
      <c r="D26" s="9"/>
      <c r="E26" s="36">
        <f t="shared" si="0"/>
        <v>4133637</v>
      </c>
    </row>
    <row r="27" spans="1:7" x14ac:dyDescent="0.25">
      <c r="A27" s="22">
        <v>45461</v>
      </c>
      <c r="B27" s="40" t="s">
        <v>43</v>
      </c>
      <c r="C27" s="8">
        <v>60000</v>
      </c>
      <c r="D27" s="9"/>
      <c r="E27" s="36">
        <f t="shared" si="0"/>
        <v>4193637</v>
      </c>
    </row>
    <row r="28" spans="1:7" x14ac:dyDescent="0.25">
      <c r="A28" s="22"/>
      <c r="B28" s="17"/>
      <c r="C28" s="8"/>
      <c r="D28" s="9"/>
      <c r="E28" s="36">
        <f t="shared" si="0"/>
        <v>4193637</v>
      </c>
    </row>
    <row r="29" spans="1:7" x14ac:dyDescent="0.25">
      <c r="A29" s="22"/>
      <c r="B29" s="17"/>
      <c r="C29" s="8"/>
      <c r="D29" s="9"/>
      <c r="E29" s="36">
        <f t="shared" si="0"/>
        <v>4193637</v>
      </c>
    </row>
    <row r="30" spans="1:7" ht="15.75" x14ac:dyDescent="0.25">
      <c r="A30" s="24"/>
      <c r="B30" s="25" t="s">
        <v>12</v>
      </c>
      <c r="C30" s="26">
        <f>SUM(C10:C29)</f>
        <v>2493637</v>
      </c>
      <c r="D30" s="26">
        <f>SUM(D12:D29)</f>
        <v>660000</v>
      </c>
      <c r="E30" s="36">
        <v>4193637</v>
      </c>
    </row>
    <row r="31" spans="1:7" ht="15.75" x14ac:dyDescent="0.25">
      <c r="A31" s="24"/>
      <c r="B31" s="37"/>
      <c r="C31" s="38"/>
      <c r="D31" s="38"/>
      <c r="E31" s="39"/>
    </row>
    <row r="32" spans="1:7" ht="15.75" x14ac:dyDescent="0.25">
      <c r="A32" s="24"/>
      <c r="B32" s="37"/>
      <c r="C32" s="38"/>
      <c r="D32" s="38"/>
      <c r="E32" s="39"/>
    </row>
    <row r="33" spans="1:5" ht="15.75" x14ac:dyDescent="0.25">
      <c r="A33" s="28"/>
      <c r="B33" s="31" t="s">
        <v>13</v>
      </c>
      <c r="C33" s="16">
        <f>+E9</f>
        <v>2360000</v>
      </c>
      <c r="D33" s="30"/>
      <c r="E33" s="10"/>
    </row>
    <row r="34" spans="1:5" ht="15.75" x14ac:dyDescent="0.25">
      <c r="A34" s="28"/>
      <c r="B34" s="31" t="s">
        <v>6</v>
      </c>
      <c r="C34" s="16">
        <f>C30</f>
        <v>2493637</v>
      </c>
      <c r="D34" s="30"/>
    </row>
    <row r="35" spans="1:5" ht="15.75" x14ac:dyDescent="0.25">
      <c r="A35" s="28"/>
      <c r="B35" s="15" t="s">
        <v>14</v>
      </c>
      <c r="C35" s="14" t="s">
        <v>15</v>
      </c>
      <c r="D35" s="30"/>
    </row>
    <row r="36" spans="1:5" ht="15.75" x14ac:dyDescent="0.25">
      <c r="A36" s="28"/>
      <c r="B36" s="26" t="s">
        <v>16</v>
      </c>
      <c r="C36" s="26">
        <f>SUM(C33:C35)</f>
        <v>4853637</v>
      </c>
      <c r="D36" s="30"/>
    </row>
    <row r="37" spans="1:5" ht="15.75" x14ac:dyDescent="0.25">
      <c r="A37" s="28"/>
      <c r="B37" s="42" t="s">
        <v>7</v>
      </c>
      <c r="C37" s="16">
        <f>+D30</f>
        <v>660000</v>
      </c>
      <c r="D37" s="30"/>
    </row>
    <row r="38" spans="1:5" ht="15.75" x14ac:dyDescent="0.25">
      <c r="B38" s="26" t="s">
        <v>17</v>
      </c>
      <c r="C38" s="26">
        <f>C36-C37</f>
        <v>4193637</v>
      </c>
    </row>
    <row r="41" spans="1:5" x14ac:dyDescent="0.25">
      <c r="B41" s="13" t="s">
        <v>18</v>
      </c>
    </row>
    <row r="42" spans="1:5" x14ac:dyDescent="0.25">
      <c r="B42" s="13" t="s">
        <v>19</v>
      </c>
    </row>
    <row r="43" spans="1:5" x14ac:dyDescent="0.25">
      <c r="B43" s="13"/>
    </row>
  </sheetData>
  <mergeCells count="4">
    <mergeCell ref="B2:D2"/>
    <mergeCell ref="B3:D3"/>
    <mergeCell ref="B4:D4"/>
    <mergeCell ref="A6:E6"/>
  </mergeCells>
  <pageMargins left="0.51181102362204722" right="0.11811023622047245" top="0.55118110236220474" bottom="0.55118110236220474" header="0.31496062992125984" footer="0.31496062992125984"/>
  <pageSetup paperSize="9"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47A9-2E91-924F-A07F-AD71AB76916E}">
  <dimension ref="A1:N49"/>
  <sheetViews>
    <sheetView topLeftCell="A10" workbookViewId="0">
      <selection activeCell="F30" sqref="F30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25</v>
      </c>
      <c r="B6" s="99"/>
      <c r="C6" s="99"/>
      <c r="D6" s="99"/>
      <c r="E6" s="100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v>4193637</v>
      </c>
    </row>
    <row r="10" spans="1:10" x14ac:dyDescent="0.25">
      <c r="A10" s="22">
        <v>45477</v>
      </c>
      <c r="B10" s="17" t="s">
        <v>44</v>
      </c>
      <c r="C10" s="8">
        <v>130000</v>
      </c>
      <c r="D10" s="8"/>
      <c r="E10" s="36">
        <f>(E9+C10)-D10</f>
        <v>4323637</v>
      </c>
    </row>
    <row r="11" spans="1:10" x14ac:dyDescent="0.25">
      <c r="A11" s="22">
        <v>45477</v>
      </c>
      <c r="B11" s="41" t="s">
        <v>45</v>
      </c>
      <c r="C11" s="8">
        <v>60000</v>
      </c>
      <c r="D11" s="8"/>
      <c r="E11" s="36">
        <f t="shared" ref="E11:E34" si="0">(E10+C11)-D11</f>
        <v>4383637</v>
      </c>
    </row>
    <row r="12" spans="1:10" x14ac:dyDescent="0.25">
      <c r="A12" s="22">
        <v>45477</v>
      </c>
      <c r="B12" s="41" t="s">
        <v>46</v>
      </c>
      <c r="C12" s="8">
        <v>120000</v>
      </c>
      <c r="D12" s="9"/>
      <c r="E12" s="36">
        <f t="shared" si="0"/>
        <v>4503637</v>
      </c>
      <c r="G12" s="10"/>
    </row>
    <row r="13" spans="1:10" s="11" customFormat="1" ht="15.75" x14ac:dyDescent="0.25">
      <c r="A13" s="22">
        <v>45477</v>
      </c>
      <c r="B13" s="41" t="s">
        <v>47</v>
      </c>
      <c r="C13" s="46">
        <v>60000</v>
      </c>
      <c r="D13" s="9"/>
      <c r="E13" s="36">
        <f t="shared" si="0"/>
        <v>4563637</v>
      </c>
      <c r="F13"/>
      <c r="G13" s="55"/>
      <c r="H13" s="44"/>
      <c r="I13" s="44"/>
      <c r="J13" s="44"/>
    </row>
    <row r="14" spans="1:10" s="11" customFormat="1" ht="15.75" x14ac:dyDescent="0.25">
      <c r="A14" s="22">
        <v>45477</v>
      </c>
      <c r="B14" s="41" t="s">
        <v>48</v>
      </c>
      <c r="C14" s="46">
        <v>60000</v>
      </c>
      <c r="D14" s="9"/>
      <c r="E14" s="36">
        <f t="shared" si="0"/>
        <v>4623637</v>
      </c>
      <c r="F14"/>
      <c r="G14" s="55"/>
      <c r="H14" s="44"/>
      <c r="I14" s="44"/>
      <c r="J14" s="56"/>
    </row>
    <row r="15" spans="1:10" s="11" customFormat="1" ht="15.75" x14ac:dyDescent="0.25">
      <c r="A15" s="22">
        <v>45477</v>
      </c>
      <c r="B15" s="41" t="s">
        <v>49</v>
      </c>
      <c r="C15" s="46">
        <v>60000</v>
      </c>
      <c r="D15" s="9"/>
      <c r="E15" s="36">
        <f t="shared" si="0"/>
        <v>4683637</v>
      </c>
      <c r="F15"/>
      <c r="G15" s="55"/>
      <c r="H15" s="44"/>
      <c r="I15" s="44"/>
      <c r="J15" s="56"/>
    </row>
    <row r="16" spans="1:10" s="11" customFormat="1" ht="15.75" x14ac:dyDescent="0.25">
      <c r="A16" s="22">
        <v>45477</v>
      </c>
      <c r="B16" s="17" t="s">
        <v>50</v>
      </c>
      <c r="C16" s="46">
        <v>120000</v>
      </c>
      <c r="D16" s="9"/>
      <c r="E16" s="36">
        <f t="shared" si="0"/>
        <v>4803637</v>
      </c>
      <c r="F16"/>
      <c r="G16" s="55"/>
      <c r="H16" s="44"/>
      <c r="I16" s="44"/>
      <c r="J16" s="56"/>
    </row>
    <row r="17" spans="1:14" s="11" customFormat="1" ht="15.75" x14ac:dyDescent="0.25">
      <c r="A17" s="22">
        <v>45477</v>
      </c>
      <c r="B17" s="41" t="s">
        <v>51</v>
      </c>
      <c r="C17" s="46">
        <v>60000</v>
      </c>
      <c r="D17" s="9"/>
      <c r="E17" s="36">
        <f t="shared" si="0"/>
        <v>4863637</v>
      </c>
      <c r="F17"/>
      <c r="G17" s="55"/>
      <c r="H17" s="44"/>
      <c r="I17" s="44"/>
      <c r="J17" s="44"/>
      <c r="K17" s="49" t="s">
        <v>52</v>
      </c>
      <c r="L17" s="49" t="s">
        <v>53</v>
      </c>
      <c r="M17" s="49" t="s">
        <v>54</v>
      </c>
      <c r="N17" s="49" t="s">
        <v>55</v>
      </c>
    </row>
    <row r="18" spans="1:14" s="11" customFormat="1" ht="15.75" x14ac:dyDescent="0.25">
      <c r="A18" s="22">
        <v>45477</v>
      </c>
      <c r="B18" s="41" t="s">
        <v>56</v>
      </c>
      <c r="C18" s="46">
        <v>60000</v>
      </c>
      <c r="D18" s="9"/>
      <c r="E18" s="36">
        <f t="shared" si="0"/>
        <v>4923637</v>
      </c>
      <c r="F18"/>
      <c r="G18" s="55"/>
      <c r="H18" s="44"/>
      <c r="I18" s="44"/>
      <c r="J18" s="44"/>
      <c r="K18" t="s">
        <v>57</v>
      </c>
      <c r="L18">
        <v>63</v>
      </c>
      <c r="M18">
        <v>15000</v>
      </c>
      <c r="N18">
        <f>L18*M18</f>
        <v>945000</v>
      </c>
    </row>
    <row r="19" spans="1:14" s="11" customFormat="1" ht="15.75" x14ac:dyDescent="0.25">
      <c r="A19" s="22">
        <v>45482</v>
      </c>
      <c r="B19" s="41" t="s">
        <v>58</v>
      </c>
      <c r="C19" s="46">
        <v>50000</v>
      </c>
      <c r="D19" s="9"/>
      <c r="E19" s="36">
        <f t="shared" si="0"/>
        <v>4973637</v>
      </c>
      <c r="F19"/>
      <c r="G19" s="55"/>
      <c r="H19" s="55"/>
      <c r="I19" s="44"/>
      <c r="J19" s="56"/>
      <c r="K19" t="s">
        <v>59</v>
      </c>
      <c r="L19">
        <v>152</v>
      </c>
      <c r="M19">
        <v>15000</v>
      </c>
      <c r="N19">
        <f>L19*M19</f>
        <v>2280000</v>
      </c>
    </row>
    <row r="20" spans="1:14" x14ac:dyDescent="0.25">
      <c r="A20" s="22">
        <v>45483</v>
      </c>
      <c r="B20" s="41" t="s">
        <v>60</v>
      </c>
      <c r="C20" s="46">
        <v>80000</v>
      </c>
      <c r="D20" s="9"/>
      <c r="E20" s="36">
        <f t="shared" si="0"/>
        <v>5053637</v>
      </c>
      <c r="K20" t="s">
        <v>61</v>
      </c>
      <c r="L20">
        <v>80</v>
      </c>
      <c r="M20">
        <v>30500</v>
      </c>
      <c r="N20">
        <f t="shared" ref="N20:N21" si="1">L20*M20</f>
        <v>2440000</v>
      </c>
    </row>
    <row r="21" spans="1:14" x14ac:dyDescent="0.25">
      <c r="A21" s="22"/>
      <c r="B21" s="41" t="s">
        <v>62</v>
      </c>
      <c r="C21" s="46">
        <v>40000</v>
      </c>
      <c r="D21" s="9"/>
      <c r="E21" s="36">
        <f t="shared" si="0"/>
        <v>5093637</v>
      </c>
      <c r="K21" t="s">
        <v>63</v>
      </c>
      <c r="L21">
        <v>40</v>
      </c>
      <c r="M21">
        <v>30500</v>
      </c>
      <c r="N21">
        <f t="shared" si="1"/>
        <v>1220000</v>
      </c>
    </row>
    <row r="22" spans="1:14" ht="15.75" thickBot="1" x14ac:dyDescent="0.3">
      <c r="A22" s="22"/>
      <c r="B22" s="41" t="s">
        <v>64</v>
      </c>
      <c r="C22" s="8">
        <v>40000</v>
      </c>
      <c r="D22" s="9"/>
      <c r="E22" s="36">
        <f t="shared" si="0"/>
        <v>5133637</v>
      </c>
      <c r="K22" t="s">
        <v>65</v>
      </c>
      <c r="N22">
        <v>460000</v>
      </c>
    </row>
    <row r="23" spans="1:14" ht="15.75" thickBot="1" x14ac:dyDescent="0.3">
      <c r="A23" s="22"/>
      <c r="B23" s="40" t="s">
        <v>66</v>
      </c>
      <c r="C23" s="8"/>
      <c r="D23" s="9">
        <v>665000</v>
      </c>
      <c r="E23" s="36">
        <f t="shared" si="0"/>
        <v>4468637</v>
      </c>
      <c r="N23" s="50">
        <f>N18+N19+N20+N21+N22</f>
        <v>7345000</v>
      </c>
    </row>
    <row r="24" spans="1:14" x14ac:dyDescent="0.25">
      <c r="A24" s="22"/>
      <c r="B24" s="40" t="s">
        <v>67</v>
      </c>
      <c r="C24" s="8">
        <v>3225000</v>
      </c>
      <c r="D24" s="9"/>
      <c r="E24" s="36">
        <f>(E23+C24)-D24</f>
        <v>7693637</v>
      </c>
    </row>
    <row r="25" spans="1:14" x14ac:dyDescent="0.25">
      <c r="A25" s="22"/>
      <c r="B25" s="40" t="s">
        <v>68</v>
      </c>
      <c r="C25" s="8">
        <v>3660000</v>
      </c>
      <c r="D25" s="9"/>
      <c r="E25" s="36">
        <f t="shared" si="0"/>
        <v>11353637</v>
      </c>
      <c r="K25" t="s">
        <v>69</v>
      </c>
      <c r="N25">
        <v>1478000</v>
      </c>
    </row>
    <row r="26" spans="1:14" x14ac:dyDescent="0.25">
      <c r="A26" s="22"/>
      <c r="B26" s="40" t="s">
        <v>70</v>
      </c>
      <c r="C26" s="8"/>
      <c r="D26" s="9">
        <v>3420000</v>
      </c>
      <c r="E26" s="36">
        <f t="shared" si="0"/>
        <v>7933637</v>
      </c>
      <c r="K26" t="s">
        <v>71</v>
      </c>
      <c r="N26">
        <v>3420000</v>
      </c>
    </row>
    <row r="27" spans="1:14" x14ac:dyDescent="0.25">
      <c r="A27" s="22"/>
      <c r="B27" s="40" t="s">
        <v>72</v>
      </c>
      <c r="C27" s="8"/>
      <c r="D27" s="9">
        <v>900000</v>
      </c>
      <c r="E27" s="36">
        <f t="shared" si="0"/>
        <v>7033637</v>
      </c>
      <c r="N27">
        <f>N25+N26</f>
        <v>4898000</v>
      </c>
    </row>
    <row r="28" spans="1:14" x14ac:dyDescent="0.25">
      <c r="A28" s="22"/>
      <c r="B28" s="40" t="s">
        <v>73</v>
      </c>
      <c r="C28" s="8"/>
      <c r="D28" s="9">
        <v>50000</v>
      </c>
      <c r="E28" s="36">
        <f t="shared" si="0"/>
        <v>6983637</v>
      </c>
    </row>
    <row r="29" spans="1:14" ht="15.75" thickBot="1" x14ac:dyDescent="0.3">
      <c r="A29" s="22"/>
      <c r="B29" s="17" t="s">
        <v>74</v>
      </c>
      <c r="C29" s="8"/>
      <c r="D29" s="9">
        <v>43000</v>
      </c>
      <c r="E29" s="36">
        <f t="shared" si="0"/>
        <v>6940637</v>
      </c>
    </row>
    <row r="30" spans="1:14" ht="15.75" thickBot="1" x14ac:dyDescent="0.3">
      <c r="A30" s="22"/>
      <c r="B30" s="17" t="s">
        <v>75</v>
      </c>
      <c r="C30" s="8"/>
      <c r="D30" s="9">
        <v>360000</v>
      </c>
      <c r="E30" s="36">
        <f t="shared" si="0"/>
        <v>6580637</v>
      </c>
      <c r="K30" t="s">
        <v>76</v>
      </c>
      <c r="N30" s="50">
        <f>N22-N27</f>
        <v>-4438000</v>
      </c>
    </row>
    <row r="31" spans="1:14" x14ac:dyDescent="0.25">
      <c r="A31" s="22"/>
      <c r="B31" s="17" t="s">
        <v>77</v>
      </c>
      <c r="C31" s="8"/>
      <c r="D31" s="9">
        <v>45000</v>
      </c>
      <c r="E31" s="36">
        <f t="shared" si="0"/>
        <v>6535637</v>
      </c>
      <c r="K31" t="s">
        <v>78</v>
      </c>
      <c r="N31">
        <v>1900000</v>
      </c>
    </row>
    <row r="32" spans="1:14" x14ac:dyDescent="0.25">
      <c r="A32" s="22"/>
      <c r="B32" s="17" t="s">
        <v>79</v>
      </c>
      <c r="C32" s="8"/>
      <c r="D32" s="9">
        <v>80000</v>
      </c>
      <c r="E32" s="36">
        <f t="shared" si="0"/>
        <v>6455637</v>
      </c>
      <c r="F32" s="48"/>
      <c r="H32" s="10"/>
    </row>
    <row r="33" spans="1:8" x14ac:dyDescent="0.25">
      <c r="A33" s="22"/>
      <c r="B33" s="17" t="s">
        <v>80</v>
      </c>
      <c r="C33" s="8">
        <v>460000</v>
      </c>
      <c r="D33" s="9"/>
      <c r="E33" s="36">
        <f t="shared" si="0"/>
        <v>6915637</v>
      </c>
    </row>
    <row r="34" spans="1:8" x14ac:dyDescent="0.25">
      <c r="A34" s="22"/>
      <c r="B34" s="17"/>
      <c r="C34" s="8"/>
      <c r="D34" s="9"/>
      <c r="E34" s="36">
        <f t="shared" si="0"/>
        <v>6915637</v>
      </c>
    </row>
    <row r="35" spans="1:8" ht="15.75" x14ac:dyDescent="0.25">
      <c r="A35" s="24"/>
      <c r="B35" s="25" t="s">
        <v>12</v>
      </c>
      <c r="C35" s="26">
        <f>SUM(C10:C34)</f>
        <v>8285000</v>
      </c>
      <c r="D35" s="26">
        <f>SUM(D12:D34)</f>
        <v>5563000</v>
      </c>
      <c r="E35" s="35">
        <f>E34</f>
        <v>6915637</v>
      </c>
    </row>
    <row r="36" spans="1:8" ht="15.75" x14ac:dyDescent="0.25">
      <c r="A36" s="24"/>
      <c r="B36" s="37"/>
      <c r="C36" s="38"/>
      <c r="D36" s="38"/>
      <c r="E36" s="39"/>
    </row>
    <row r="37" spans="1:8" ht="15.75" x14ac:dyDescent="0.25">
      <c r="A37" s="24"/>
      <c r="B37" s="37"/>
      <c r="C37" s="38"/>
      <c r="D37" s="38"/>
    </row>
    <row r="38" spans="1:8" ht="15.75" x14ac:dyDescent="0.25">
      <c r="A38" s="28"/>
      <c r="B38" s="31" t="s">
        <v>13</v>
      </c>
      <c r="C38" s="35">
        <f>E9</f>
        <v>4193637</v>
      </c>
      <c r="D38" s="30"/>
      <c r="E38" s="10"/>
    </row>
    <row r="39" spans="1:8" ht="15.75" x14ac:dyDescent="0.25">
      <c r="A39" s="28"/>
      <c r="B39" s="31" t="s">
        <v>6</v>
      </c>
      <c r="C39" s="16">
        <f>C35</f>
        <v>8285000</v>
      </c>
      <c r="D39" s="30"/>
    </row>
    <row r="40" spans="1:8" ht="15.75" x14ac:dyDescent="0.25">
      <c r="A40" s="28"/>
      <c r="B40" s="15" t="s">
        <v>14</v>
      </c>
      <c r="C40" s="14">
        <v>135</v>
      </c>
      <c r="D40" s="30"/>
    </row>
    <row r="41" spans="1:8" ht="15.75" x14ac:dyDescent="0.25">
      <c r="A41" s="28"/>
      <c r="B41" s="26" t="s">
        <v>16</v>
      </c>
      <c r="C41" s="26">
        <f>SUM(C38:C40)</f>
        <v>12478772</v>
      </c>
      <c r="D41" s="30"/>
      <c r="H41" s="10"/>
    </row>
    <row r="42" spans="1:8" ht="15.75" x14ac:dyDescent="0.25">
      <c r="A42" s="28"/>
      <c r="B42" s="42" t="s">
        <v>7</v>
      </c>
      <c r="C42" s="16">
        <f>+D35</f>
        <v>5563000</v>
      </c>
      <c r="D42" s="30"/>
    </row>
    <row r="43" spans="1:8" ht="15.75" x14ac:dyDescent="0.25">
      <c r="B43" s="26" t="s">
        <v>17</v>
      </c>
      <c r="C43" s="26">
        <f>C41-C42</f>
        <v>6915772</v>
      </c>
    </row>
    <row r="44" spans="1:8" ht="21" x14ac:dyDescent="0.35">
      <c r="C44" s="45"/>
    </row>
    <row r="45" spans="1:8" x14ac:dyDescent="0.25">
      <c r="E45" s="47"/>
    </row>
    <row r="46" spans="1:8" ht="21" x14ac:dyDescent="0.35">
      <c r="B46" s="13" t="s">
        <v>18</v>
      </c>
      <c r="C46" s="45"/>
    </row>
    <row r="47" spans="1:8" x14ac:dyDescent="0.25">
      <c r="B47" s="13" t="s">
        <v>19</v>
      </c>
    </row>
    <row r="48" spans="1:8" x14ac:dyDescent="0.25">
      <c r="B48" s="13"/>
    </row>
    <row r="49" spans="3:3" ht="21" x14ac:dyDescent="0.35">
      <c r="C49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98B1-C8DF-564A-9E17-B7F88E4B2F2B}">
  <sheetPr>
    <pageSetUpPr fitToPage="1"/>
  </sheetPr>
  <dimension ref="A1:J48"/>
  <sheetViews>
    <sheetView workbookViewId="0">
      <selection activeCell="C35" sqref="C35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81</v>
      </c>
      <c r="B6" s="99"/>
      <c r="C6" s="99"/>
      <c r="D6" s="99"/>
      <c r="E6" s="100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v>6915000</v>
      </c>
    </row>
    <row r="10" spans="1:10" x14ac:dyDescent="0.25">
      <c r="A10" s="22"/>
      <c r="B10" s="17" t="s">
        <v>82</v>
      </c>
      <c r="C10" s="8">
        <v>60000</v>
      </c>
      <c r="D10" s="8"/>
      <c r="E10" s="36">
        <f>(E9+C10)-D10</f>
        <v>6975000</v>
      </c>
    </row>
    <row r="11" spans="1:10" x14ac:dyDescent="0.25">
      <c r="A11" s="22"/>
      <c r="B11" s="17" t="s">
        <v>83</v>
      </c>
      <c r="C11" s="8"/>
      <c r="D11" s="8">
        <v>380000</v>
      </c>
      <c r="E11" s="36">
        <f t="shared" ref="E11:E33" si="0">(E10+C11)-D11</f>
        <v>6595000</v>
      </c>
    </row>
    <row r="12" spans="1:10" x14ac:dyDescent="0.25">
      <c r="A12" s="22"/>
      <c r="B12" s="41" t="s">
        <v>84</v>
      </c>
      <c r="C12" s="8"/>
      <c r="D12" s="8">
        <v>1098000</v>
      </c>
      <c r="E12" s="36">
        <f t="shared" si="0"/>
        <v>5497000</v>
      </c>
      <c r="G12" s="10"/>
    </row>
    <row r="13" spans="1:10" x14ac:dyDescent="0.25">
      <c r="A13" s="22"/>
      <c r="B13" s="41" t="s">
        <v>85</v>
      </c>
      <c r="C13" s="8"/>
      <c r="D13" s="8">
        <v>22000</v>
      </c>
      <c r="E13" s="36">
        <f t="shared" si="0"/>
        <v>5475000</v>
      </c>
      <c r="G13" s="10"/>
    </row>
    <row r="14" spans="1:10" s="11" customFormat="1" ht="15.75" x14ac:dyDescent="0.25">
      <c r="A14" s="22"/>
      <c r="B14" s="41" t="s">
        <v>86</v>
      </c>
      <c r="C14" s="46">
        <v>253000</v>
      </c>
      <c r="D14" s="9"/>
      <c r="E14" s="36">
        <f t="shared" si="0"/>
        <v>5728000</v>
      </c>
      <c r="F14"/>
      <c r="G14" s="55"/>
      <c r="H14" s="44"/>
      <c r="I14" s="44"/>
      <c r="J14" s="44"/>
    </row>
    <row r="15" spans="1:10" s="11" customFormat="1" ht="15.75" x14ac:dyDescent="0.25">
      <c r="A15" s="22"/>
      <c r="B15" s="41" t="s">
        <v>87</v>
      </c>
      <c r="C15" s="46">
        <v>40000</v>
      </c>
      <c r="D15" s="9"/>
      <c r="E15" s="36">
        <f t="shared" si="0"/>
        <v>5768000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41" t="s">
        <v>88</v>
      </c>
      <c r="C16" s="46">
        <v>180000</v>
      </c>
      <c r="D16" s="9"/>
      <c r="E16" s="36">
        <f t="shared" si="0"/>
        <v>5948000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41" t="s">
        <v>89</v>
      </c>
      <c r="C17" s="46"/>
      <c r="D17" s="9">
        <v>40000</v>
      </c>
      <c r="E17" s="36">
        <f t="shared" si="0"/>
        <v>5908000</v>
      </c>
      <c r="F17"/>
      <c r="G17" s="55"/>
      <c r="H17" s="44"/>
      <c r="I17" s="44"/>
      <c r="J17" s="56"/>
    </row>
    <row r="18" spans="1:10" s="11" customFormat="1" ht="15.75" x14ac:dyDescent="0.25">
      <c r="A18" s="22"/>
      <c r="B18" s="17" t="s">
        <v>90</v>
      </c>
      <c r="C18" s="46">
        <v>106000</v>
      </c>
      <c r="D18" s="9"/>
      <c r="E18" s="36">
        <f t="shared" si="0"/>
        <v>6014000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41" t="s">
        <v>91</v>
      </c>
      <c r="C19" s="46">
        <v>265800</v>
      </c>
      <c r="D19" s="9"/>
      <c r="E19" s="36">
        <f t="shared" si="0"/>
        <v>6279800</v>
      </c>
      <c r="F19"/>
      <c r="G19" s="55"/>
      <c r="H19" s="44"/>
      <c r="I19" s="44"/>
      <c r="J19" s="44"/>
    </row>
    <row r="20" spans="1:10" s="11" customFormat="1" ht="15.75" x14ac:dyDescent="0.25">
      <c r="A20" s="22"/>
      <c r="B20" s="41" t="s">
        <v>92</v>
      </c>
      <c r="C20" s="46">
        <v>80000</v>
      </c>
      <c r="D20" s="9"/>
      <c r="E20" s="36">
        <f t="shared" si="0"/>
        <v>6359800</v>
      </c>
      <c r="F20"/>
      <c r="G20" s="55"/>
      <c r="H20" s="44"/>
      <c r="I20" s="44"/>
      <c r="J20" s="56"/>
    </row>
    <row r="21" spans="1:10" x14ac:dyDescent="0.25">
      <c r="A21" s="22"/>
      <c r="B21" s="41" t="s">
        <v>93</v>
      </c>
      <c r="C21" s="46">
        <v>60000</v>
      </c>
      <c r="D21" s="9"/>
      <c r="E21" s="36">
        <f t="shared" si="0"/>
        <v>6419800</v>
      </c>
    </row>
    <row r="22" spans="1:10" x14ac:dyDescent="0.25">
      <c r="A22" s="22"/>
      <c r="B22" s="41" t="s">
        <v>94</v>
      </c>
      <c r="C22" s="46"/>
      <c r="D22" s="9">
        <v>1750000</v>
      </c>
      <c r="E22" s="36">
        <f t="shared" si="0"/>
        <v>4669800</v>
      </c>
    </row>
    <row r="23" spans="1:10" x14ac:dyDescent="0.25">
      <c r="A23" s="22"/>
      <c r="B23" s="40" t="s">
        <v>95</v>
      </c>
      <c r="C23" s="8">
        <v>80000</v>
      </c>
      <c r="D23" s="9"/>
      <c r="E23" s="36">
        <f t="shared" si="0"/>
        <v>4749800</v>
      </c>
    </row>
    <row r="24" spans="1:10" x14ac:dyDescent="0.25">
      <c r="A24" s="22"/>
      <c r="B24" s="40" t="s">
        <v>96</v>
      </c>
      <c r="C24" s="8">
        <v>60000</v>
      </c>
      <c r="D24" s="9"/>
      <c r="E24" s="36">
        <f t="shared" si="0"/>
        <v>4809800</v>
      </c>
    </row>
    <row r="25" spans="1:10" x14ac:dyDescent="0.25">
      <c r="A25" s="22"/>
      <c r="B25" s="40" t="s">
        <v>97</v>
      </c>
      <c r="C25" s="8">
        <v>120000</v>
      </c>
      <c r="D25" s="9"/>
      <c r="E25" s="36">
        <f t="shared" si="0"/>
        <v>4929800</v>
      </c>
    </row>
    <row r="26" spans="1:10" x14ac:dyDescent="0.25">
      <c r="A26" s="22"/>
      <c r="B26" s="40" t="s">
        <v>98</v>
      </c>
      <c r="C26" s="8"/>
      <c r="D26" s="9">
        <v>50000</v>
      </c>
      <c r="E26" s="36">
        <f t="shared" si="0"/>
        <v>4879800</v>
      </c>
    </row>
    <row r="27" spans="1:10" x14ac:dyDescent="0.25">
      <c r="A27" s="22"/>
      <c r="B27" s="40" t="s">
        <v>99</v>
      </c>
      <c r="C27" s="8">
        <v>120000</v>
      </c>
      <c r="D27" s="9"/>
      <c r="E27" s="36">
        <f t="shared" si="0"/>
        <v>4999800</v>
      </c>
    </row>
    <row r="28" spans="1:10" x14ac:dyDescent="0.25">
      <c r="A28" s="22"/>
      <c r="B28" s="40" t="s">
        <v>100</v>
      </c>
      <c r="C28" s="8">
        <v>120000</v>
      </c>
      <c r="D28" s="9"/>
      <c r="E28" s="36">
        <f t="shared" si="0"/>
        <v>5119800</v>
      </c>
    </row>
    <row r="29" spans="1:10" x14ac:dyDescent="0.25">
      <c r="A29" s="22"/>
      <c r="B29" s="17" t="s">
        <v>101</v>
      </c>
      <c r="C29" s="8">
        <v>80000</v>
      </c>
      <c r="D29" s="9"/>
      <c r="E29" s="36">
        <f t="shared" si="0"/>
        <v>5199800</v>
      </c>
    </row>
    <row r="30" spans="1:10" x14ac:dyDescent="0.25">
      <c r="A30" s="22"/>
      <c r="B30" s="17" t="s">
        <v>102</v>
      </c>
      <c r="C30" s="8">
        <v>80000</v>
      </c>
      <c r="D30" s="9"/>
      <c r="E30" s="36">
        <f t="shared" si="0"/>
        <v>5279800</v>
      </c>
    </row>
    <row r="31" spans="1:10" x14ac:dyDescent="0.25">
      <c r="A31" s="22"/>
      <c r="B31" s="17" t="s">
        <v>103</v>
      </c>
      <c r="C31" s="8">
        <v>46000</v>
      </c>
      <c r="D31" s="9"/>
      <c r="E31" s="36">
        <f t="shared" si="0"/>
        <v>5325800</v>
      </c>
      <c r="F31" s="48"/>
    </row>
    <row r="32" spans="1:10" x14ac:dyDescent="0.25">
      <c r="A32" s="22"/>
      <c r="B32" s="17" t="s">
        <v>104</v>
      </c>
      <c r="C32" s="8">
        <v>66000</v>
      </c>
      <c r="D32" s="9"/>
      <c r="E32" s="36">
        <f t="shared" si="0"/>
        <v>5391800</v>
      </c>
    </row>
    <row r="33" spans="1:8" x14ac:dyDescent="0.25">
      <c r="A33" s="22"/>
      <c r="B33" s="17" t="s">
        <v>105</v>
      </c>
      <c r="C33" s="8">
        <v>315000</v>
      </c>
      <c r="D33" s="9"/>
      <c r="E33" s="36">
        <f t="shared" si="0"/>
        <v>5706800</v>
      </c>
    </row>
    <row r="34" spans="1:8" ht="15.75" x14ac:dyDescent="0.25">
      <c r="A34" s="24"/>
      <c r="B34" s="25" t="s">
        <v>12</v>
      </c>
      <c r="C34" s="26">
        <f>SUM(C10:C33)</f>
        <v>2131800</v>
      </c>
      <c r="D34" s="26">
        <f>SUM(D10:D33)</f>
        <v>3340000</v>
      </c>
      <c r="E34" s="35">
        <f>E33</f>
        <v>5706800</v>
      </c>
    </row>
    <row r="35" spans="1:8" ht="15.75" x14ac:dyDescent="0.25">
      <c r="A35" s="24"/>
      <c r="B35" s="37"/>
      <c r="C35" s="38"/>
      <c r="D35" s="38"/>
      <c r="E35" s="39"/>
    </row>
    <row r="36" spans="1:8" ht="15.75" x14ac:dyDescent="0.25">
      <c r="A36" s="24"/>
      <c r="B36" s="37"/>
      <c r="C36" s="38"/>
      <c r="D36" s="38"/>
    </row>
    <row r="37" spans="1:8" ht="15.75" x14ac:dyDescent="0.25">
      <c r="A37" s="28"/>
      <c r="B37" s="31" t="s">
        <v>13</v>
      </c>
      <c r="C37" s="35">
        <f>E9</f>
        <v>6915000</v>
      </c>
      <c r="D37" s="30"/>
      <c r="E37" s="10"/>
    </row>
    <row r="38" spans="1:8" ht="15.75" x14ac:dyDescent="0.25">
      <c r="A38" s="28"/>
      <c r="B38" s="31" t="s">
        <v>6</v>
      </c>
      <c r="C38" s="16">
        <f>C34</f>
        <v>2131800</v>
      </c>
      <c r="D38" s="30"/>
    </row>
    <row r="39" spans="1:8" ht="15.75" x14ac:dyDescent="0.25">
      <c r="A39" s="28"/>
      <c r="B39" s="15" t="s">
        <v>14</v>
      </c>
      <c r="C39" s="14">
        <v>135</v>
      </c>
      <c r="D39" s="30"/>
    </row>
    <row r="40" spans="1:8" ht="15.75" x14ac:dyDescent="0.25">
      <c r="A40" s="28"/>
      <c r="B40" s="26" t="s">
        <v>16</v>
      </c>
      <c r="C40" s="26">
        <f>C37+C38</f>
        <v>9046800</v>
      </c>
      <c r="D40" s="30"/>
      <c r="H40" s="10"/>
    </row>
    <row r="41" spans="1:8" ht="15.75" x14ac:dyDescent="0.25">
      <c r="A41" s="28"/>
      <c r="B41" s="42" t="s">
        <v>7</v>
      </c>
      <c r="C41" s="16">
        <f>+D34</f>
        <v>3340000</v>
      </c>
      <c r="D41" s="30"/>
    </row>
    <row r="42" spans="1:8" ht="15.75" x14ac:dyDescent="0.25">
      <c r="B42" s="26" t="s">
        <v>17</v>
      </c>
      <c r="C42" s="26">
        <f>E34</f>
        <v>5706800</v>
      </c>
    </row>
    <row r="43" spans="1:8" ht="21" x14ac:dyDescent="0.35">
      <c r="C43" s="45"/>
    </row>
    <row r="44" spans="1:8" x14ac:dyDescent="0.25">
      <c r="E44" s="47"/>
    </row>
    <row r="45" spans="1:8" ht="21" x14ac:dyDescent="0.35">
      <c r="B45" s="13" t="s">
        <v>18</v>
      </c>
      <c r="C45" s="45"/>
    </row>
    <row r="46" spans="1:8" x14ac:dyDescent="0.25">
      <c r="B46" s="13" t="s">
        <v>19</v>
      </c>
    </row>
    <row r="47" spans="1:8" x14ac:dyDescent="0.25">
      <c r="B47" s="13"/>
    </row>
    <row r="48" spans="1:8" ht="21" x14ac:dyDescent="0.35">
      <c r="C48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scale="7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1E05-56D0-674F-8041-A5BEC8B80B53}">
  <sheetPr>
    <pageSetUpPr fitToPage="1"/>
  </sheetPr>
  <dimension ref="A1:J47"/>
  <sheetViews>
    <sheetView tabSelected="1" topLeftCell="A4" workbookViewId="0">
      <selection activeCell="D34" sqref="D34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106</v>
      </c>
      <c r="B6" s="99"/>
      <c r="C6" s="99"/>
      <c r="D6" s="99"/>
      <c r="E6" s="100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DICIEMBRE 20 -24'!C42</f>
        <v>5706800</v>
      </c>
    </row>
    <row r="10" spans="1:10" x14ac:dyDescent="0.25">
      <c r="A10" s="22"/>
      <c r="B10" s="17" t="s">
        <v>107</v>
      </c>
      <c r="C10" s="8">
        <v>46000</v>
      </c>
      <c r="D10" s="8"/>
      <c r="E10" s="36">
        <f>(E9+C10)-D10</f>
        <v>5752800</v>
      </c>
    </row>
    <row r="11" spans="1:10" x14ac:dyDescent="0.25">
      <c r="A11" s="22"/>
      <c r="B11" s="17" t="s">
        <v>108</v>
      </c>
      <c r="C11" s="8">
        <v>220000</v>
      </c>
      <c r="D11" s="8"/>
      <c r="E11" s="36">
        <f t="shared" ref="E11:E22" si="0">(E10+C11)-D11</f>
        <v>5972800</v>
      </c>
    </row>
    <row r="12" spans="1:10" x14ac:dyDescent="0.25">
      <c r="A12" s="22"/>
      <c r="B12" s="41" t="s">
        <v>109</v>
      </c>
      <c r="C12" s="8">
        <v>46000</v>
      </c>
      <c r="D12" s="8"/>
      <c r="E12" s="36">
        <f t="shared" si="0"/>
        <v>6018800</v>
      </c>
      <c r="G12" s="10"/>
    </row>
    <row r="13" spans="1:10" s="11" customFormat="1" ht="15.75" x14ac:dyDescent="0.25">
      <c r="A13" s="22"/>
      <c r="B13" s="41" t="s">
        <v>110</v>
      </c>
      <c r="C13" s="46">
        <v>46000</v>
      </c>
      <c r="D13" s="9"/>
      <c r="E13" s="36">
        <f t="shared" si="0"/>
        <v>6064800</v>
      </c>
      <c r="F13"/>
      <c r="G13" s="55"/>
      <c r="H13" s="44"/>
      <c r="I13" s="44"/>
      <c r="J13" s="44"/>
    </row>
    <row r="14" spans="1:10" s="11" customFormat="1" ht="15.75" x14ac:dyDescent="0.25">
      <c r="A14" s="22"/>
      <c r="B14" s="41" t="s">
        <v>111</v>
      </c>
      <c r="C14" s="46">
        <v>66000</v>
      </c>
      <c r="D14" s="9"/>
      <c r="E14" s="36">
        <f t="shared" si="0"/>
        <v>6130800</v>
      </c>
      <c r="F14"/>
      <c r="G14" s="55"/>
      <c r="H14" s="44"/>
      <c r="I14" s="44"/>
      <c r="J14" s="56"/>
    </row>
    <row r="15" spans="1:10" s="11" customFormat="1" ht="15.75" x14ac:dyDescent="0.25">
      <c r="A15" s="22"/>
      <c r="B15" s="41" t="s">
        <v>112</v>
      </c>
      <c r="C15" s="46">
        <v>92000</v>
      </c>
      <c r="D15" s="9"/>
      <c r="E15" s="36">
        <f t="shared" si="0"/>
        <v>6222800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41" t="s">
        <v>113</v>
      </c>
      <c r="C16" s="46">
        <v>46000</v>
      </c>
      <c r="D16" s="9"/>
      <c r="E16" s="36">
        <f t="shared" si="0"/>
        <v>6268800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17" t="s">
        <v>114</v>
      </c>
      <c r="C17" s="46">
        <v>92000</v>
      </c>
      <c r="D17" s="9"/>
      <c r="E17" s="36">
        <f t="shared" si="0"/>
        <v>6360800</v>
      </c>
      <c r="F17"/>
      <c r="G17" s="55"/>
      <c r="H17" s="44"/>
      <c r="I17" s="44"/>
      <c r="J17" s="44"/>
    </row>
    <row r="18" spans="1:10" s="11" customFormat="1" ht="15.75" x14ac:dyDescent="0.25">
      <c r="A18" s="22"/>
      <c r="B18" s="41" t="s">
        <v>115</v>
      </c>
      <c r="C18" s="46">
        <v>46000</v>
      </c>
      <c r="D18" s="9"/>
      <c r="E18" s="36">
        <f t="shared" si="0"/>
        <v>6406800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41" t="s">
        <v>116</v>
      </c>
      <c r="C19" s="46">
        <v>46000</v>
      </c>
      <c r="D19" s="9"/>
      <c r="E19" s="36">
        <f t="shared" si="0"/>
        <v>6452800</v>
      </c>
      <c r="F19"/>
      <c r="G19" s="55"/>
      <c r="H19" s="44"/>
      <c r="I19" s="44"/>
      <c r="J19" s="56"/>
    </row>
    <row r="20" spans="1:10" x14ac:dyDescent="0.25">
      <c r="A20" s="22"/>
      <c r="B20" s="41" t="s">
        <v>117</v>
      </c>
      <c r="C20" s="46">
        <v>45000</v>
      </c>
      <c r="D20" s="9"/>
      <c r="E20" s="36">
        <f t="shared" si="0"/>
        <v>6497800</v>
      </c>
    </row>
    <row r="21" spans="1:10" x14ac:dyDescent="0.25">
      <c r="A21" s="22"/>
      <c r="B21" s="41" t="s">
        <v>118</v>
      </c>
      <c r="C21" s="46">
        <v>20000</v>
      </c>
      <c r="D21" s="9"/>
      <c r="E21" s="36">
        <f t="shared" si="0"/>
        <v>6517800</v>
      </c>
    </row>
    <row r="22" spans="1:10" x14ac:dyDescent="0.25">
      <c r="A22" s="22"/>
      <c r="B22" s="40" t="s">
        <v>119</v>
      </c>
      <c r="C22" s="8">
        <v>286000</v>
      </c>
      <c r="D22" s="9"/>
      <c r="E22" s="36">
        <f t="shared" si="0"/>
        <v>6803800</v>
      </c>
    </row>
    <row r="23" spans="1:10" x14ac:dyDescent="0.25">
      <c r="A23" s="22"/>
      <c r="B23" s="40" t="s">
        <v>120</v>
      </c>
      <c r="C23" s="8">
        <v>166000</v>
      </c>
      <c r="D23" s="9"/>
      <c r="E23" s="36">
        <f>(E22+C23)-D23</f>
        <v>6969800</v>
      </c>
    </row>
    <row r="24" spans="1:10" x14ac:dyDescent="0.25">
      <c r="A24" s="22"/>
      <c r="B24" s="40" t="s">
        <v>121</v>
      </c>
      <c r="C24" s="8">
        <v>92000</v>
      </c>
      <c r="D24" s="9"/>
      <c r="E24" s="36">
        <f>(E23+C24)-D24</f>
        <v>7061800</v>
      </c>
    </row>
    <row r="25" spans="1:10" x14ac:dyDescent="0.25">
      <c r="A25" s="22"/>
      <c r="B25" s="40" t="s">
        <v>122</v>
      </c>
      <c r="C25" s="8">
        <v>92000</v>
      </c>
      <c r="D25" s="9"/>
      <c r="E25" s="36">
        <f>(E24+C25)-D25</f>
        <v>7153800</v>
      </c>
    </row>
    <row r="26" spans="1:10" x14ac:dyDescent="0.25">
      <c r="A26" s="22"/>
      <c r="B26" s="40" t="s">
        <v>123</v>
      </c>
      <c r="C26" s="8"/>
      <c r="D26" s="9">
        <v>50000</v>
      </c>
      <c r="E26" s="36">
        <f t="shared" ref="E26:E32" si="1">(E25+C26)-D26</f>
        <v>7103800</v>
      </c>
    </row>
    <row r="27" spans="1:10" x14ac:dyDescent="0.25">
      <c r="A27" s="22"/>
      <c r="B27" s="40" t="s">
        <v>124</v>
      </c>
      <c r="C27" s="8"/>
      <c r="D27" s="9">
        <v>2251622</v>
      </c>
      <c r="E27" s="36">
        <f t="shared" si="1"/>
        <v>4852178</v>
      </c>
    </row>
    <row r="28" spans="1:10" x14ac:dyDescent="0.25">
      <c r="A28" s="22"/>
      <c r="B28" s="40" t="s">
        <v>125</v>
      </c>
      <c r="C28" s="8"/>
      <c r="D28" s="9">
        <v>16500</v>
      </c>
      <c r="E28" s="36">
        <f t="shared" si="1"/>
        <v>4835678</v>
      </c>
    </row>
    <row r="29" spans="1:10" x14ac:dyDescent="0.25">
      <c r="A29" s="22"/>
      <c r="B29" s="17" t="s">
        <v>126</v>
      </c>
      <c r="C29" s="8"/>
      <c r="D29" s="9">
        <v>200000</v>
      </c>
      <c r="E29" s="36">
        <f t="shared" si="1"/>
        <v>4635678</v>
      </c>
    </row>
    <row r="30" spans="1:10" x14ac:dyDescent="0.25">
      <c r="A30" s="22"/>
      <c r="B30" s="17" t="s">
        <v>127</v>
      </c>
      <c r="C30" s="8"/>
      <c r="D30" s="9">
        <v>250000</v>
      </c>
      <c r="E30" s="36">
        <f t="shared" si="1"/>
        <v>4385678</v>
      </c>
      <c r="F30" s="48"/>
    </row>
    <row r="31" spans="1:10" x14ac:dyDescent="0.25">
      <c r="A31" s="22"/>
      <c r="B31" s="17" t="s">
        <v>128</v>
      </c>
      <c r="C31" s="8">
        <v>128800</v>
      </c>
      <c r="D31" s="9"/>
      <c r="E31" s="36">
        <f t="shared" si="1"/>
        <v>4514478</v>
      </c>
    </row>
    <row r="32" spans="1:10" x14ac:dyDescent="0.25">
      <c r="A32" s="22"/>
      <c r="B32" s="17" t="s">
        <v>129</v>
      </c>
      <c r="C32" s="8">
        <v>20000</v>
      </c>
      <c r="D32" s="9"/>
      <c r="E32" s="36">
        <f t="shared" si="1"/>
        <v>4534478</v>
      </c>
    </row>
    <row r="33" spans="1:8" ht="15.75" x14ac:dyDescent="0.25">
      <c r="A33" s="24"/>
      <c r="B33" s="25" t="s">
        <v>12</v>
      </c>
      <c r="C33" s="26">
        <f>SUM(C10:C32)</f>
        <v>1595800</v>
      </c>
      <c r="D33" s="26">
        <f>SUM(D9:D32)</f>
        <v>2768122</v>
      </c>
      <c r="E33" s="35">
        <f>E32</f>
        <v>4534478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5706800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1595800</v>
      </c>
      <c r="D37" s="30"/>
    </row>
    <row r="38" spans="1:8" ht="15.75" x14ac:dyDescent="0.25">
      <c r="A38" s="28"/>
      <c r="B38" s="15" t="s">
        <v>130</v>
      </c>
      <c r="C38" s="14">
        <v>135</v>
      </c>
      <c r="D38" s="30"/>
    </row>
    <row r="39" spans="1:8" ht="15.75" x14ac:dyDescent="0.25">
      <c r="A39" s="28"/>
      <c r="B39" s="26" t="s">
        <v>16</v>
      </c>
      <c r="C39" s="26">
        <f>C36+C37</f>
        <v>7302600</v>
      </c>
      <c r="D39" s="30"/>
      <c r="H39" s="10"/>
    </row>
    <row r="40" spans="1:8" ht="15.75" x14ac:dyDescent="0.25">
      <c r="A40" s="28"/>
      <c r="B40" s="42" t="s">
        <v>7</v>
      </c>
      <c r="C40" s="16">
        <f>+D33</f>
        <v>2768122</v>
      </c>
      <c r="D40" s="30"/>
    </row>
    <row r="41" spans="1:8" ht="15.75" x14ac:dyDescent="0.25">
      <c r="B41" s="26" t="s">
        <v>17</v>
      </c>
      <c r="C41" s="26">
        <f>E33</f>
        <v>4534478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18</v>
      </c>
      <c r="C44" s="45"/>
    </row>
    <row r="45" spans="1:8" x14ac:dyDescent="0.25">
      <c r="B45" s="13" t="s">
        <v>19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scale="7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036-B9C5-4C15-BE52-497C57F4FAEF}">
  <sheetPr>
    <pageSetUpPr fitToPage="1"/>
  </sheetPr>
  <dimension ref="A1:J47"/>
  <sheetViews>
    <sheetView topLeftCell="A11" workbookViewId="0">
      <selection activeCell="E33" sqref="E33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131</v>
      </c>
      <c r="B6" s="99"/>
      <c r="C6" s="99"/>
      <c r="D6" s="99"/>
      <c r="E6" s="100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DICIEMBRE 20 -24'!C42</f>
        <v>5706800</v>
      </c>
    </row>
    <row r="10" spans="1:10" x14ac:dyDescent="0.25">
      <c r="A10" s="22"/>
      <c r="B10" s="17" t="s">
        <v>107</v>
      </c>
      <c r="C10" s="8">
        <v>46000</v>
      </c>
      <c r="D10" s="8"/>
      <c r="E10" s="36">
        <f>(E9+C10)-D10</f>
        <v>5752800</v>
      </c>
    </row>
    <row r="11" spans="1:10" x14ac:dyDescent="0.25">
      <c r="A11" s="22"/>
      <c r="B11" s="17" t="s">
        <v>108</v>
      </c>
      <c r="C11" s="8">
        <v>220000</v>
      </c>
      <c r="D11" s="8"/>
      <c r="E11" s="36">
        <f t="shared" ref="E11:E22" si="0">(E10+C11)-D11</f>
        <v>5972800</v>
      </c>
    </row>
    <row r="12" spans="1:10" x14ac:dyDescent="0.25">
      <c r="A12" s="22"/>
      <c r="B12" s="41" t="s">
        <v>109</v>
      </c>
      <c r="C12" s="8">
        <v>46000</v>
      </c>
      <c r="D12" s="8"/>
      <c r="E12" s="36">
        <f t="shared" si="0"/>
        <v>6018800</v>
      </c>
      <c r="G12" s="10"/>
    </row>
    <row r="13" spans="1:10" s="11" customFormat="1" ht="15.75" x14ac:dyDescent="0.25">
      <c r="A13" s="22"/>
      <c r="B13" s="41" t="s">
        <v>110</v>
      </c>
      <c r="C13" s="46">
        <v>46000</v>
      </c>
      <c r="D13" s="9"/>
      <c r="E13" s="36">
        <f t="shared" si="0"/>
        <v>6064800</v>
      </c>
      <c r="F13"/>
      <c r="G13" s="55"/>
      <c r="H13" s="44"/>
      <c r="I13" s="44"/>
      <c r="J13" s="44"/>
    </row>
    <row r="14" spans="1:10" s="11" customFormat="1" ht="15.75" x14ac:dyDescent="0.25">
      <c r="A14" s="22"/>
      <c r="B14" s="41" t="s">
        <v>111</v>
      </c>
      <c r="C14" s="46">
        <v>66000</v>
      </c>
      <c r="D14" s="9"/>
      <c r="E14" s="36">
        <f t="shared" si="0"/>
        <v>6130800</v>
      </c>
      <c r="F14"/>
      <c r="G14" s="55"/>
      <c r="H14" s="44"/>
      <c r="I14" s="44"/>
      <c r="J14" s="56"/>
    </row>
    <row r="15" spans="1:10" s="11" customFormat="1" ht="15.75" x14ac:dyDescent="0.25">
      <c r="A15" s="22"/>
      <c r="B15" s="41" t="s">
        <v>112</v>
      </c>
      <c r="C15" s="46">
        <v>92000</v>
      </c>
      <c r="D15" s="9"/>
      <c r="E15" s="36">
        <f t="shared" si="0"/>
        <v>6222800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41" t="s">
        <v>113</v>
      </c>
      <c r="C16" s="46">
        <v>46000</v>
      </c>
      <c r="D16" s="9"/>
      <c r="E16" s="36">
        <f t="shared" si="0"/>
        <v>6268800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17" t="s">
        <v>114</v>
      </c>
      <c r="C17" s="46">
        <v>92000</v>
      </c>
      <c r="D17" s="9"/>
      <c r="E17" s="36">
        <f t="shared" si="0"/>
        <v>6360800</v>
      </c>
      <c r="F17"/>
      <c r="G17" s="55"/>
      <c r="H17" s="44"/>
      <c r="I17" s="44"/>
      <c r="J17" s="44"/>
    </row>
    <row r="18" spans="1:10" s="11" customFormat="1" ht="15.75" x14ac:dyDescent="0.25">
      <c r="A18" s="22"/>
      <c r="B18" s="41" t="s">
        <v>115</v>
      </c>
      <c r="C18" s="46">
        <v>46000</v>
      </c>
      <c r="D18" s="9"/>
      <c r="E18" s="36">
        <f t="shared" si="0"/>
        <v>6406800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41" t="s">
        <v>116</v>
      </c>
      <c r="C19" s="46">
        <v>46000</v>
      </c>
      <c r="D19" s="9"/>
      <c r="E19" s="36">
        <f t="shared" si="0"/>
        <v>6452800</v>
      </c>
      <c r="F19"/>
      <c r="G19" s="55"/>
      <c r="H19" s="44"/>
      <c r="I19" s="44"/>
      <c r="J19" s="56"/>
    </row>
    <row r="20" spans="1:10" x14ac:dyDescent="0.25">
      <c r="A20" s="22"/>
      <c r="B20" s="41" t="s">
        <v>117</v>
      </c>
      <c r="C20" s="46">
        <v>45000</v>
      </c>
      <c r="D20" s="9"/>
      <c r="E20" s="36">
        <f t="shared" si="0"/>
        <v>6497800</v>
      </c>
    </row>
    <row r="21" spans="1:10" x14ac:dyDescent="0.25">
      <c r="A21" s="22"/>
      <c r="B21" s="41" t="s">
        <v>118</v>
      </c>
      <c r="C21" s="46">
        <v>20000</v>
      </c>
      <c r="D21" s="9"/>
      <c r="E21" s="36">
        <f t="shared" si="0"/>
        <v>6517800</v>
      </c>
    </row>
    <row r="22" spans="1:10" x14ac:dyDescent="0.25">
      <c r="A22" s="22"/>
      <c r="B22" s="40" t="s">
        <v>119</v>
      </c>
      <c r="C22" s="8">
        <v>286000</v>
      </c>
      <c r="D22" s="9"/>
      <c r="E22" s="36">
        <f t="shared" si="0"/>
        <v>6803800</v>
      </c>
    </row>
    <row r="23" spans="1:10" x14ac:dyDescent="0.25">
      <c r="A23" s="22"/>
      <c r="B23" s="40" t="s">
        <v>120</v>
      </c>
      <c r="C23" s="8">
        <v>166000</v>
      </c>
      <c r="D23" s="9"/>
      <c r="E23" s="36">
        <f>(E22+C23)-D23</f>
        <v>6969800</v>
      </c>
    </row>
    <row r="24" spans="1:10" x14ac:dyDescent="0.25">
      <c r="A24" s="22"/>
      <c r="B24" s="40" t="s">
        <v>121</v>
      </c>
      <c r="C24" s="8">
        <v>92000</v>
      </c>
      <c r="D24" s="9"/>
      <c r="E24" s="36">
        <f>(E23+C24)-D24</f>
        <v>7061800</v>
      </c>
    </row>
    <row r="25" spans="1:10" x14ac:dyDescent="0.25">
      <c r="A25" s="22"/>
      <c r="B25" s="40" t="s">
        <v>122</v>
      </c>
      <c r="C25" s="8">
        <v>92000</v>
      </c>
      <c r="D25" s="9"/>
      <c r="E25" s="36">
        <f>(E24+C25)-D25</f>
        <v>7153800</v>
      </c>
    </row>
    <row r="26" spans="1:10" x14ac:dyDescent="0.25">
      <c r="A26" s="22"/>
      <c r="B26" s="40" t="s">
        <v>123</v>
      </c>
      <c r="C26" s="8"/>
      <c r="D26" s="9">
        <v>50000</v>
      </c>
      <c r="E26" s="36">
        <f t="shared" ref="E26:E32" si="1">(E25+C26)-D26</f>
        <v>7103800</v>
      </c>
    </row>
    <row r="27" spans="1:10" x14ac:dyDescent="0.25">
      <c r="A27" s="22"/>
      <c r="B27" s="40" t="s">
        <v>124</v>
      </c>
      <c r="C27" s="8"/>
      <c r="D27" s="9">
        <v>2251622</v>
      </c>
      <c r="E27" s="36">
        <f t="shared" si="1"/>
        <v>4852178</v>
      </c>
    </row>
    <row r="28" spans="1:10" x14ac:dyDescent="0.25">
      <c r="A28" s="22"/>
      <c r="B28" s="40" t="s">
        <v>125</v>
      </c>
      <c r="C28" s="8"/>
      <c r="D28" s="9">
        <v>16500</v>
      </c>
      <c r="E28" s="36">
        <f t="shared" si="1"/>
        <v>4835678</v>
      </c>
    </row>
    <row r="29" spans="1:10" x14ac:dyDescent="0.25">
      <c r="A29" s="22"/>
      <c r="B29" s="17" t="s">
        <v>126</v>
      </c>
      <c r="C29" s="8"/>
      <c r="D29" s="9">
        <v>200000</v>
      </c>
      <c r="E29" s="36">
        <f t="shared" si="1"/>
        <v>4635678</v>
      </c>
    </row>
    <row r="30" spans="1:10" x14ac:dyDescent="0.25">
      <c r="A30" s="22"/>
      <c r="B30" s="17" t="s">
        <v>127</v>
      </c>
      <c r="C30" s="8"/>
      <c r="D30" s="9">
        <v>250000</v>
      </c>
      <c r="E30" s="36">
        <f t="shared" si="1"/>
        <v>4385678</v>
      </c>
      <c r="F30" s="48"/>
    </row>
    <row r="31" spans="1:10" x14ac:dyDescent="0.25">
      <c r="A31" s="22"/>
      <c r="B31" s="17" t="s">
        <v>128</v>
      </c>
      <c r="C31" s="8">
        <v>128800</v>
      </c>
      <c r="D31" s="9"/>
      <c r="E31" s="36">
        <f t="shared" si="1"/>
        <v>4514478</v>
      </c>
    </row>
    <row r="32" spans="1:10" x14ac:dyDescent="0.25">
      <c r="A32" s="22"/>
      <c r="B32" s="17" t="s">
        <v>129</v>
      </c>
      <c r="C32" s="8">
        <v>20000</v>
      </c>
      <c r="D32" s="9"/>
      <c r="E32" s="36">
        <f t="shared" si="1"/>
        <v>4534478</v>
      </c>
    </row>
    <row r="33" spans="1:8" ht="15.75" x14ac:dyDescent="0.25">
      <c r="A33" s="24"/>
      <c r="B33" s="25" t="s">
        <v>12</v>
      </c>
      <c r="C33" s="26">
        <f>SUM(C10:C32)</f>
        <v>1595800</v>
      </c>
      <c r="D33" s="26">
        <f>SUM(D10:D32)</f>
        <v>2768122</v>
      </c>
      <c r="E33" s="35">
        <f>E32</f>
        <v>4534478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5706800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1595800</v>
      </c>
      <c r="D37" s="30"/>
    </row>
    <row r="38" spans="1:8" ht="15.75" x14ac:dyDescent="0.25">
      <c r="A38" s="28"/>
      <c r="B38" s="15" t="s">
        <v>130</v>
      </c>
      <c r="C38" s="14">
        <v>165</v>
      </c>
      <c r="D38" s="30"/>
    </row>
    <row r="39" spans="1:8" ht="15.75" x14ac:dyDescent="0.25">
      <c r="A39" s="28"/>
      <c r="B39" s="26" t="s">
        <v>16</v>
      </c>
      <c r="C39" s="26">
        <f>C36+C37</f>
        <v>7302600</v>
      </c>
      <c r="D39" s="30"/>
      <c r="H39" s="10"/>
    </row>
    <row r="40" spans="1:8" ht="15.75" x14ac:dyDescent="0.25">
      <c r="A40" s="28"/>
      <c r="B40" s="42" t="s">
        <v>7</v>
      </c>
      <c r="C40" s="16">
        <f>+D33</f>
        <v>2768122</v>
      </c>
      <c r="D40" s="30"/>
    </row>
    <row r="41" spans="1:8" ht="15.75" x14ac:dyDescent="0.25">
      <c r="B41" s="26" t="s">
        <v>17</v>
      </c>
      <c r="C41" s="26">
        <f>E33</f>
        <v>4534478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18</v>
      </c>
      <c r="C44" s="45"/>
    </row>
    <row r="45" spans="1:8" x14ac:dyDescent="0.25">
      <c r="B45" s="13" t="s">
        <v>19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scale="7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0020-D8DC-4AF3-BD52-8F46D2FD971B}">
  <dimension ref="A1:J47"/>
  <sheetViews>
    <sheetView zoomScale="89" zoomScaleNormal="100" workbookViewId="0">
      <selection activeCell="C33" sqref="C33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7" max="7" width="20" bestFit="1" customWidth="1"/>
    <col min="8" max="8" width="12.85546875" bestFit="1" customWidth="1"/>
    <col min="9" max="9" width="50.710937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132</v>
      </c>
      <c r="B6" s="99"/>
      <c r="C6" s="99"/>
      <c r="D6" s="99"/>
      <c r="E6" s="100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MARZO 31-25'!C41</f>
        <v>4534478</v>
      </c>
    </row>
    <row r="10" spans="1:10" hidden="1" x14ac:dyDescent="0.25">
      <c r="A10" s="22"/>
      <c r="B10" s="52"/>
      <c r="C10" s="51"/>
      <c r="D10" s="8"/>
      <c r="E10" s="36">
        <f t="shared" ref="E10:E32" si="0">(E9+C10)-D10</f>
        <v>4534478</v>
      </c>
      <c r="G10" s="48" t="s">
        <v>152</v>
      </c>
      <c r="H10" s="63">
        <f>C41+H11</f>
        <v>4517445.5199999996</v>
      </c>
    </row>
    <row r="11" spans="1:10" hidden="1" x14ac:dyDescent="0.25">
      <c r="A11" s="22"/>
      <c r="B11" s="52"/>
      <c r="C11" s="51"/>
      <c r="D11" s="8"/>
      <c r="E11" s="36">
        <f t="shared" si="0"/>
        <v>4534478</v>
      </c>
      <c r="G11" s="48" t="s">
        <v>150</v>
      </c>
      <c r="H11" s="66">
        <f>SUM(C10:C15)</f>
        <v>0</v>
      </c>
      <c r="I11" s="65" t="s">
        <v>153</v>
      </c>
    </row>
    <row r="12" spans="1:10" hidden="1" x14ac:dyDescent="0.25">
      <c r="A12" s="22"/>
      <c r="B12" s="54"/>
      <c r="C12" s="51"/>
      <c r="D12" s="8"/>
      <c r="E12" s="36">
        <f t="shared" si="0"/>
        <v>4534478</v>
      </c>
      <c r="G12" s="48" t="s">
        <v>151</v>
      </c>
      <c r="H12" s="67">
        <f>H10-H11</f>
        <v>4517445.5199999996</v>
      </c>
    </row>
    <row r="13" spans="1:10" s="11" customFormat="1" ht="15.75" hidden="1" x14ac:dyDescent="0.25">
      <c r="A13" s="22"/>
      <c r="B13" s="54"/>
      <c r="C13" s="51"/>
      <c r="D13" s="9"/>
      <c r="E13" s="36">
        <f t="shared" si="0"/>
        <v>4534478</v>
      </c>
      <c r="F13"/>
      <c r="G13" s="55"/>
      <c r="H13" s="44"/>
      <c r="I13" s="44"/>
      <c r="J13" s="44"/>
    </row>
    <row r="14" spans="1:10" s="11" customFormat="1" ht="15.75" hidden="1" x14ac:dyDescent="0.25">
      <c r="A14" s="22"/>
      <c r="B14" s="54"/>
      <c r="C14" s="51"/>
      <c r="D14" s="9"/>
      <c r="E14" s="36">
        <f t="shared" si="0"/>
        <v>4534478</v>
      </c>
      <c r="F14"/>
      <c r="G14" s="55"/>
      <c r="H14" s="44"/>
      <c r="I14" s="44"/>
      <c r="J14" s="56"/>
    </row>
    <row r="15" spans="1:10" s="11" customFormat="1" ht="15.75" hidden="1" x14ac:dyDescent="0.25">
      <c r="A15" s="22"/>
      <c r="B15" s="54"/>
      <c r="C15" s="51"/>
      <c r="E15" s="36">
        <f t="shared" si="0"/>
        <v>4534478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57" t="s">
        <v>133</v>
      </c>
      <c r="C16" s="60">
        <v>72000</v>
      </c>
      <c r="D16" s="9"/>
      <c r="E16" s="36">
        <f t="shared" si="0"/>
        <v>4606478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40" t="s">
        <v>134</v>
      </c>
      <c r="C17" s="46"/>
      <c r="D17" s="9">
        <v>438798</v>
      </c>
      <c r="E17" s="36">
        <f t="shared" si="0"/>
        <v>4167680</v>
      </c>
      <c r="F17"/>
      <c r="G17" s="55"/>
      <c r="H17" s="44"/>
      <c r="I17" s="44"/>
      <c r="J17" s="44"/>
    </row>
    <row r="18" spans="1:10" s="11" customFormat="1" ht="15.75" x14ac:dyDescent="0.25">
      <c r="A18" s="22"/>
      <c r="B18" s="17" t="s">
        <v>135</v>
      </c>
      <c r="C18" s="46"/>
      <c r="D18" s="9">
        <v>772284.48</v>
      </c>
      <c r="E18" s="36">
        <f t="shared" si="0"/>
        <v>3395395.52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58" t="s">
        <v>125</v>
      </c>
      <c r="C19" s="46"/>
      <c r="D19" s="9">
        <v>16500</v>
      </c>
      <c r="E19" s="36">
        <f t="shared" si="0"/>
        <v>3378895.52</v>
      </c>
      <c r="F19"/>
      <c r="G19" s="55"/>
      <c r="H19" s="44"/>
      <c r="I19" s="44"/>
      <c r="J19" s="56"/>
    </row>
    <row r="20" spans="1:10" x14ac:dyDescent="0.25">
      <c r="A20" s="22"/>
      <c r="B20" s="40" t="s">
        <v>136</v>
      </c>
      <c r="C20" s="8">
        <v>655050</v>
      </c>
      <c r="D20" s="9"/>
      <c r="E20" s="36">
        <f t="shared" si="0"/>
        <v>4033945.52</v>
      </c>
    </row>
    <row r="21" spans="1:10" x14ac:dyDescent="0.25">
      <c r="A21" s="22"/>
      <c r="B21" s="40" t="s">
        <v>141</v>
      </c>
      <c r="C21" s="8"/>
      <c r="D21" s="9">
        <v>16500</v>
      </c>
      <c r="E21" s="36">
        <f t="shared" si="0"/>
        <v>4017445.52</v>
      </c>
    </row>
    <row r="22" spans="1:10" x14ac:dyDescent="0.25">
      <c r="A22" s="22"/>
      <c r="B22" s="40" t="s">
        <v>139</v>
      </c>
      <c r="C22" s="8">
        <v>480000</v>
      </c>
      <c r="D22" s="9"/>
      <c r="E22" s="36">
        <f t="shared" si="0"/>
        <v>4497445.5199999996</v>
      </c>
    </row>
    <row r="23" spans="1:10" x14ac:dyDescent="0.25">
      <c r="A23" s="22"/>
      <c r="B23" s="40" t="s">
        <v>140</v>
      </c>
      <c r="C23" s="8">
        <v>20000</v>
      </c>
      <c r="D23" s="9"/>
      <c r="E23" s="36">
        <f t="shared" si="0"/>
        <v>4517445.5199999996</v>
      </c>
    </row>
    <row r="24" spans="1:10" x14ac:dyDescent="0.25">
      <c r="A24" s="22"/>
      <c r="B24" s="17"/>
      <c r="C24" s="60"/>
      <c r="D24" s="64"/>
      <c r="E24" s="36">
        <f t="shared" si="0"/>
        <v>4517445.5199999996</v>
      </c>
    </row>
    <row r="25" spans="1:10" hidden="1" x14ac:dyDescent="0.25">
      <c r="A25" s="22"/>
      <c r="B25" s="17"/>
      <c r="C25" s="17"/>
      <c r="D25" s="17"/>
      <c r="E25" s="36">
        <f t="shared" si="0"/>
        <v>4517445.5199999996</v>
      </c>
    </row>
    <row r="26" spans="1:10" hidden="1" x14ac:dyDescent="0.25">
      <c r="A26" s="22"/>
      <c r="B26" s="17"/>
      <c r="C26" s="17"/>
      <c r="D26" s="17"/>
      <c r="E26" s="36">
        <f t="shared" si="0"/>
        <v>4517445.5199999996</v>
      </c>
    </row>
    <row r="27" spans="1:10" hidden="1" x14ac:dyDescent="0.25">
      <c r="A27" s="22"/>
      <c r="B27" s="40"/>
      <c r="C27" s="8"/>
      <c r="D27" s="9"/>
      <c r="E27" s="36">
        <f t="shared" si="0"/>
        <v>4517445.5199999996</v>
      </c>
    </row>
    <row r="28" spans="1:10" hidden="1" x14ac:dyDescent="0.25">
      <c r="A28" s="22"/>
      <c r="B28" s="40"/>
      <c r="C28" s="8"/>
      <c r="D28" s="9"/>
      <c r="E28" s="36">
        <f t="shared" si="0"/>
        <v>4517445.5199999996</v>
      </c>
    </row>
    <row r="29" spans="1:10" hidden="1" x14ac:dyDescent="0.25">
      <c r="A29" s="22"/>
      <c r="B29" s="17"/>
      <c r="C29" s="8"/>
      <c r="D29" s="9"/>
      <c r="E29" s="36">
        <f t="shared" si="0"/>
        <v>4517445.5199999996</v>
      </c>
    </row>
    <row r="30" spans="1:10" hidden="1" x14ac:dyDescent="0.25">
      <c r="A30" s="22"/>
      <c r="B30" s="17"/>
      <c r="C30" s="8"/>
      <c r="D30" s="9"/>
      <c r="E30" s="36">
        <f t="shared" si="0"/>
        <v>4517445.5199999996</v>
      </c>
      <c r="F30" s="48"/>
    </row>
    <row r="31" spans="1:10" hidden="1" x14ac:dyDescent="0.25">
      <c r="A31" s="22"/>
      <c r="B31" s="17"/>
      <c r="C31" s="8"/>
      <c r="D31" s="9"/>
      <c r="E31" s="36">
        <f t="shared" si="0"/>
        <v>4517445.5199999996</v>
      </c>
    </row>
    <row r="32" spans="1:10" hidden="1" x14ac:dyDescent="0.25">
      <c r="A32" s="22"/>
      <c r="B32" s="17"/>
      <c r="C32" s="8"/>
      <c r="D32" s="9"/>
      <c r="E32" s="36">
        <f t="shared" si="0"/>
        <v>4517445.5199999996</v>
      </c>
    </row>
    <row r="33" spans="1:8" ht="15.75" x14ac:dyDescent="0.25">
      <c r="A33" s="24"/>
      <c r="B33" s="25" t="s">
        <v>12</v>
      </c>
      <c r="C33" s="26">
        <f>SUM(C10:C32)</f>
        <v>1227050</v>
      </c>
      <c r="D33" s="26">
        <f>SUM(D10:D32)</f>
        <v>1244082.48</v>
      </c>
      <c r="E33" s="35">
        <f>E32</f>
        <v>4517445.5199999996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4534478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1227050</v>
      </c>
      <c r="D37" s="30"/>
    </row>
    <row r="38" spans="1:8" ht="15.75" x14ac:dyDescent="0.25">
      <c r="A38" s="28"/>
      <c r="B38" s="15" t="s">
        <v>130</v>
      </c>
      <c r="C38" s="14"/>
      <c r="D38" s="30"/>
    </row>
    <row r="39" spans="1:8" ht="15.75" x14ac:dyDescent="0.25">
      <c r="A39" s="28"/>
      <c r="B39" s="26" t="s">
        <v>16</v>
      </c>
      <c r="C39" s="26">
        <f>C36+C37</f>
        <v>5761528</v>
      </c>
      <c r="D39" s="30" t="s">
        <v>142</v>
      </c>
      <c r="H39" s="10"/>
    </row>
    <row r="40" spans="1:8" ht="15.75" x14ac:dyDescent="0.25">
      <c r="A40" s="28"/>
      <c r="B40" s="42" t="s">
        <v>7</v>
      </c>
      <c r="C40" s="16">
        <f>+D33</f>
        <v>1244082.48</v>
      </c>
      <c r="D40" s="30"/>
    </row>
    <row r="41" spans="1:8" ht="15.75" x14ac:dyDescent="0.25">
      <c r="B41" s="26" t="s">
        <v>17</v>
      </c>
      <c r="C41" s="26">
        <f>E33-H11</f>
        <v>4517445.5199999996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137</v>
      </c>
      <c r="C44" s="45"/>
    </row>
    <row r="45" spans="1:8" x14ac:dyDescent="0.25">
      <c r="B45" s="13" t="s">
        <v>138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0345-CB9F-419D-B502-802DA86CB771}">
  <dimension ref="A1:J47"/>
  <sheetViews>
    <sheetView zoomScaleNormal="100" workbookViewId="0">
      <selection activeCell="E33" sqref="E33"/>
    </sheetView>
  </sheetViews>
  <sheetFormatPr baseColWidth="10" defaultColWidth="11.42578125" defaultRowHeight="15" x14ac:dyDescent="0.25"/>
  <cols>
    <col min="1" max="1" width="12.7109375" customWidth="1"/>
    <col min="2" max="2" width="67.140625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7" max="7" width="22.85546875" bestFit="1" customWidth="1"/>
    <col min="8" max="8" width="13.28515625" bestFit="1" customWidth="1"/>
  </cols>
  <sheetData>
    <row r="1" spans="1:10" x14ac:dyDescent="0.25">
      <c r="A1" s="1"/>
      <c r="B1" s="1"/>
      <c r="C1" s="1"/>
      <c r="D1" s="1"/>
      <c r="H1" t="s">
        <v>149</v>
      </c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143</v>
      </c>
      <c r="B6" s="99"/>
      <c r="C6" s="99"/>
      <c r="D6" s="99"/>
      <c r="E6" s="100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ABRIL 30-25 '!C41</f>
        <v>4517445.5199999996</v>
      </c>
      <c r="G9" s="48" t="s">
        <v>155</v>
      </c>
      <c r="H9" s="63">
        <f>'CORTE ABRIL 30-25 '!H12</f>
        <v>4517445.5199999996</v>
      </c>
    </row>
    <row r="10" spans="1:10" x14ac:dyDescent="0.25">
      <c r="A10" s="22"/>
      <c r="B10" s="52"/>
      <c r="C10" s="51"/>
      <c r="D10" s="8"/>
      <c r="E10" s="36">
        <f>(E9)-D10</f>
        <v>4517445.5199999996</v>
      </c>
      <c r="G10" s="48" t="s">
        <v>150</v>
      </c>
      <c r="H10" s="61">
        <f>C10+'CORTE ABRIL 30-25 '!H11</f>
        <v>0</v>
      </c>
    </row>
    <row r="11" spans="1:10" x14ac:dyDescent="0.25">
      <c r="A11" s="75"/>
      <c r="B11" s="76" t="s">
        <v>144</v>
      </c>
      <c r="C11" s="60"/>
      <c r="D11" s="9">
        <v>90000</v>
      </c>
      <c r="E11" s="36">
        <f>(E10+C11)-D11</f>
        <v>4427445.5199999996</v>
      </c>
      <c r="G11" t="s">
        <v>159</v>
      </c>
      <c r="H11" s="10">
        <f>C12</f>
        <v>60000</v>
      </c>
    </row>
    <row r="12" spans="1:10" x14ac:dyDescent="0.25">
      <c r="A12" s="79"/>
      <c r="B12" s="58" t="s">
        <v>146</v>
      </c>
      <c r="C12" s="72">
        <v>60000</v>
      </c>
      <c r="D12" s="9"/>
      <c r="E12" s="36">
        <f>(E11+C12)-D12</f>
        <v>4487445.5199999996</v>
      </c>
      <c r="G12" s="48" t="s">
        <v>156</v>
      </c>
      <c r="H12" s="62">
        <f>H9+H11-D33</f>
        <v>4470945.5199999996</v>
      </c>
    </row>
    <row r="13" spans="1:10" s="11" customFormat="1" ht="15.75" x14ac:dyDescent="0.25">
      <c r="A13" s="79"/>
      <c r="B13" s="40" t="s">
        <v>154</v>
      </c>
      <c r="C13" s="73"/>
      <c r="D13" s="9">
        <v>16500</v>
      </c>
      <c r="E13" s="36">
        <f t="shared" ref="E13:E31" si="0">(E12+C13)-D13</f>
        <v>4470945.5199999996</v>
      </c>
      <c r="F13"/>
      <c r="G13" s="55"/>
      <c r="H13" s="44"/>
      <c r="I13" s="44"/>
      <c r="J13" s="44"/>
    </row>
    <row r="14" spans="1:10" s="11" customFormat="1" ht="15.75" x14ac:dyDescent="0.25">
      <c r="A14" s="79"/>
      <c r="B14" s="57"/>
      <c r="C14" s="72"/>
      <c r="D14" s="9"/>
      <c r="E14" s="36">
        <f t="shared" si="0"/>
        <v>4470945.5199999996</v>
      </c>
      <c r="F14"/>
      <c r="G14" s="55"/>
      <c r="H14" s="44"/>
      <c r="I14" s="44"/>
      <c r="J14" s="56"/>
    </row>
    <row r="15" spans="1:10" s="11" customFormat="1" ht="15.75" hidden="1" x14ac:dyDescent="0.25">
      <c r="A15" s="79"/>
      <c r="B15" s="80"/>
      <c r="E15" s="36">
        <f t="shared" si="0"/>
        <v>4470945.5199999996</v>
      </c>
      <c r="F15"/>
      <c r="G15" s="55"/>
      <c r="H15" s="44"/>
      <c r="I15" s="44"/>
      <c r="J15" s="56"/>
    </row>
    <row r="16" spans="1:10" s="11" customFormat="1" ht="15.75" hidden="1" x14ac:dyDescent="0.25">
      <c r="A16" s="79"/>
      <c r="B16" s="40"/>
      <c r="C16" s="74"/>
      <c r="D16" s="9"/>
      <c r="E16" s="36">
        <f t="shared" si="0"/>
        <v>4470945.5199999996</v>
      </c>
      <c r="F16"/>
      <c r="G16" s="55"/>
      <c r="H16" s="44"/>
      <c r="I16" s="44"/>
      <c r="J16" s="56"/>
    </row>
    <row r="17" spans="1:10" s="11" customFormat="1" ht="15.75" hidden="1" x14ac:dyDescent="0.25">
      <c r="A17" s="79"/>
      <c r="B17" s="17"/>
      <c r="C17" s="74"/>
      <c r="D17" s="9"/>
      <c r="E17" s="36">
        <f t="shared" si="0"/>
        <v>4470945.5199999996</v>
      </c>
      <c r="F17"/>
      <c r="G17" s="55"/>
      <c r="H17" s="44"/>
      <c r="I17" s="44"/>
      <c r="J17" s="44"/>
    </row>
    <row r="18" spans="1:10" s="11" customFormat="1" ht="15.75" hidden="1" x14ac:dyDescent="0.25">
      <c r="A18" s="79"/>
      <c r="B18" s="57"/>
      <c r="C18" s="74"/>
      <c r="D18" s="9"/>
      <c r="E18" s="36">
        <f t="shared" si="0"/>
        <v>4470945.5199999996</v>
      </c>
      <c r="F18"/>
      <c r="G18" s="55"/>
      <c r="H18" s="44"/>
      <c r="I18" s="44"/>
      <c r="J18" s="44"/>
    </row>
    <row r="19" spans="1:10" s="11" customFormat="1" ht="15.75" hidden="1" x14ac:dyDescent="0.25">
      <c r="A19" s="79"/>
      <c r="B19" s="58"/>
      <c r="C19" s="74"/>
      <c r="D19" s="9"/>
      <c r="E19" s="36">
        <f t="shared" si="0"/>
        <v>4470945.5199999996</v>
      </c>
      <c r="F19"/>
      <c r="G19" s="55"/>
      <c r="H19" s="44"/>
      <c r="I19" s="44"/>
      <c r="J19" s="56"/>
    </row>
    <row r="20" spans="1:10" hidden="1" x14ac:dyDescent="0.25">
      <c r="A20" s="77"/>
      <c r="B20" s="78"/>
      <c r="C20" s="46"/>
      <c r="D20" s="9"/>
      <c r="E20" s="36">
        <f t="shared" si="0"/>
        <v>4470945.5199999996</v>
      </c>
    </row>
    <row r="21" spans="1:10" hidden="1" x14ac:dyDescent="0.25">
      <c r="A21" s="22"/>
      <c r="B21" s="59"/>
      <c r="C21" s="46"/>
      <c r="D21" s="9"/>
      <c r="E21" s="36">
        <f t="shared" si="0"/>
        <v>4470945.5199999996</v>
      </c>
    </row>
    <row r="22" spans="1:10" hidden="1" x14ac:dyDescent="0.25">
      <c r="A22" s="22"/>
      <c r="B22" s="40"/>
      <c r="C22" s="8"/>
      <c r="D22" s="9"/>
      <c r="E22" s="36">
        <f t="shared" si="0"/>
        <v>4470945.5199999996</v>
      </c>
    </row>
    <row r="23" spans="1:10" hidden="1" x14ac:dyDescent="0.25">
      <c r="A23" s="22"/>
      <c r="B23" s="40"/>
      <c r="C23" s="8"/>
      <c r="D23" s="9"/>
      <c r="E23" s="36">
        <f t="shared" si="0"/>
        <v>4470945.5199999996</v>
      </c>
    </row>
    <row r="24" spans="1:10" hidden="1" x14ac:dyDescent="0.25">
      <c r="A24" s="22"/>
      <c r="B24" s="40"/>
      <c r="C24" s="8"/>
      <c r="D24" s="9"/>
      <c r="E24" s="36">
        <f t="shared" si="0"/>
        <v>4470945.5199999996</v>
      </c>
    </row>
    <row r="25" spans="1:10" hidden="1" x14ac:dyDescent="0.25">
      <c r="A25" s="22"/>
      <c r="B25" s="40"/>
      <c r="C25" s="8"/>
      <c r="D25" s="9"/>
      <c r="E25" s="36">
        <f t="shared" si="0"/>
        <v>4470945.5199999996</v>
      </c>
    </row>
    <row r="26" spans="1:10" hidden="1" x14ac:dyDescent="0.25">
      <c r="A26" s="22"/>
      <c r="B26" s="58"/>
      <c r="C26" s="8"/>
      <c r="D26" s="9"/>
      <c r="E26" s="36">
        <f t="shared" si="0"/>
        <v>4470945.5199999996</v>
      </c>
    </row>
    <row r="27" spans="1:10" hidden="1" x14ac:dyDescent="0.25">
      <c r="A27" s="22"/>
      <c r="B27" s="40"/>
      <c r="C27" s="8"/>
      <c r="D27" s="9"/>
      <c r="E27" s="36">
        <f t="shared" si="0"/>
        <v>4470945.5199999996</v>
      </c>
    </row>
    <row r="28" spans="1:10" hidden="1" x14ac:dyDescent="0.25">
      <c r="A28" s="22"/>
      <c r="B28" s="40"/>
      <c r="C28" s="8"/>
      <c r="D28" s="9"/>
      <c r="E28" s="36">
        <f t="shared" si="0"/>
        <v>4470945.5199999996</v>
      </c>
    </row>
    <row r="29" spans="1:10" hidden="1" x14ac:dyDescent="0.25">
      <c r="A29" s="22"/>
      <c r="B29" s="17"/>
      <c r="C29" s="8"/>
      <c r="D29" s="9"/>
      <c r="E29" s="36">
        <f t="shared" si="0"/>
        <v>4470945.5199999996</v>
      </c>
    </row>
    <row r="30" spans="1:10" hidden="1" x14ac:dyDescent="0.25">
      <c r="A30" s="22"/>
      <c r="B30" s="17"/>
      <c r="C30" s="8"/>
      <c r="D30" s="9"/>
      <c r="E30" s="36">
        <f t="shared" si="0"/>
        <v>4470945.5199999996</v>
      </c>
      <c r="F30" s="48"/>
    </row>
    <row r="31" spans="1:10" x14ac:dyDescent="0.25">
      <c r="A31" s="22"/>
      <c r="B31" s="17"/>
      <c r="C31" s="8"/>
      <c r="D31" s="9"/>
      <c r="E31" s="36">
        <f t="shared" si="0"/>
        <v>4470945.5199999996</v>
      </c>
    </row>
    <row r="32" spans="1:10" x14ac:dyDescent="0.25">
      <c r="A32" s="22"/>
      <c r="B32" s="17"/>
      <c r="C32" s="8"/>
      <c r="D32" s="9"/>
      <c r="E32" s="36">
        <f>(E31+C32)-D32</f>
        <v>4470945.5199999996</v>
      </c>
    </row>
    <row r="33" spans="1:8" ht="15.75" x14ac:dyDescent="0.25">
      <c r="A33" s="24"/>
      <c r="B33" s="25" t="s">
        <v>12</v>
      </c>
      <c r="C33" s="26">
        <f>SUM(C10:C32)</f>
        <v>60000</v>
      </c>
      <c r="D33" s="26">
        <f>SUM(D10:D32)</f>
        <v>106500</v>
      </c>
      <c r="E33" s="35">
        <f>E32</f>
        <v>4470945.5199999996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4517445.5199999996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60000</v>
      </c>
      <c r="D37" s="30"/>
    </row>
    <row r="38" spans="1:8" ht="15.75" x14ac:dyDescent="0.25">
      <c r="A38" s="28"/>
      <c r="B38" s="15" t="s">
        <v>130</v>
      </c>
      <c r="C38" s="14"/>
      <c r="D38" s="30"/>
    </row>
    <row r="39" spans="1:8" ht="15.75" x14ac:dyDescent="0.25">
      <c r="A39" s="28"/>
      <c r="B39" s="26" t="s">
        <v>16</v>
      </c>
      <c r="C39" s="26">
        <f>C36+C37</f>
        <v>4577445.5199999996</v>
      </c>
      <c r="D39" s="30" t="s">
        <v>142</v>
      </c>
      <c r="H39" s="10"/>
    </row>
    <row r="40" spans="1:8" ht="15.75" x14ac:dyDescent="0.25">
      <c r="A40" s="28"/>
      <c r="B40" s="42" t="s">
        <v>7</v>
      </c>
      <c r="C40" s="16">
        <f>+D33</f>
        <v>106500</v>
      </c>
      <c r="D40" s="30"/>
    </row>
    <row r="41" spans="1:8" ht="15.75" x14ac:dyDescent="0.25">
      <c r="B41" s="26" t="s">
        <v>17</v>
      </c>
      <c r="C41" s="26">
        <f>E33</f>
        <v>4470945.5199999996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137</v>
      </c>
      <c r="C44" s="45"/>
    </row>
    <row r="45" spans="1:8" x14ac:dyDescent="0.25">
      <c r="B45" s="13" t="s">
        <v>138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27B2-2887-41FE-AD4B-54983708DFCD}">
  <dimension ref="A1:M47"/>
  <sheetViews>
    <sheetView topLeftCell="A13" zoomScale="125" zoomScaleNormal="100" workbookViewId="0">
      <selection activeCell="C49" sqref="C49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91.28515625" bestFit="1" customWidth="1"/>
    <col min="10" max="10" width="12.28515625" bestFit="1" customWidth="1"/>
    <col min="11" max="11" width="50.7109375" bestFit="1" customWidth="1"/>
  </cols>
  <sheetData>
    <row r="1" spans="1:13" x14ac:dyDescent="0.25">
      <c r="A1" s="1"/>
      <c r="B1" s="1"/>
      <c r="C1" s="1"/>
      <c r="D1" s="1"/>
    </row>
    <row r="2" spans="1:13" x14ac:dyDescent="0.25">
      <c r="A2" s="2"/>
      <c r="B2" s="89" t="s">
        <v>0</v>
      </c>
      <c r="C2" s="90"/>
      <c r="D2" s="91"/>
      <c r="E2" s="3"/>
    </row>
    <row r="3" spans="1:13" x14ac:dyDescent="0.25">
      <c r="A3" s="2"/>
      <c r="B3" s="92" t="s">
        <v>1</v>
      </c>
      <c r="C3" s="93"/>
      <c r="D3" s="94"/>
      <c r="E3" s="4"/>
    </row>
    <row r="4" spans="1:13" ht="19.5" customHeight="1" x14ac:dyDescent="0.25">
      <c r="A4" s="2"/>
      <c r="B4" s="95" t="s">
        <v>2</v>
      </c>
      <c r="C4" s="96"/>
      <c r="D4" s="97"/>
      <c r="E4" s="43"/>
    </row>
    <row r="5" spans="1:13" x14ac:dyDescent="0.25">
      <c r="A5" s="1"/>
      <c r="B5" s="1"/>
      <c r="C5" s="1"/>
      <c r="D5" s="1"/>
    </row>
    <row r="6" spans="1:13" s="6" customFormat="1" ht="20.25" customHeight="1" x14ac:dyDescent="0.3">
      <c r="A6" s="98" t="s">
        <v>147</v>
      </c>
      <c r="B6" s="99"/>
      <c r="C6" s="99"/>
      <c r="D6" s="99"/>
      <c r="E6" s="100"/>
      <c r="F6"/>
    </row>
    <row r="7" spans="1:13" x14ac:dyDescent="0.25">
      <c r="A7" s="1"/>
      <c r="B7" s="1"/>
      <c r="C7" s="1"/>
      <c r="D7" s="1"/>
    </row>
    <row r="8" spans="1:13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3" ht="15.75" x14ac:dyDescent="0.25">
      <c r="A9" s="22"/>
      <c r="B9" s="7" t="s">
        <v>13</v>
      </c>
      <c r="C9" s="8"/>
      <c r="D9" s="9"/>
      <c r="E9" s="26">
        <f>'CORTE MAYO 31-25'!C41</f>
        <v>4470945.5199999996</v>
      </c>
    </row>
    <row r="10" spans="1:13" hidden="1" x14ac:dyDescent="0.25">
      <c r="A10" s="22"/>
      <c r="B10" s="53"/>
      <c r="C10" s="51"/>
      <c r="D10" s="51"/>
      <c r="E10" s="36">
        <f>(E9+C10)-D10</f>
        <v>4470945.5199999996</v>
      </c>
      <c r="I10" s="48" t="s">
        <v>155</v>
      </c>
      <c r="J10" s="63">
        <f>'CORTE MAYO 31-25'!H12</f>
        <v>4470945.5199999996</v>
      </c>
      <c r="K10" s="68" t="s">
        <v>157</v>
      </c>
      <c r="L10" s="68"/>
      <c r="M10" s="68"/>
    </row>
    <row r="11" spans="1:13" hidden="1" x14ac:dyDescent="0.25">
      <c r="A11" s="22"/>
      <c r="B11" s="59"/>
      <c r="C11" s="60"/>
      <c r="D11" s="8"/>
      <c r="E11" s="36">
        <f t="shared" ref="E11:E22" si="0">(E10+C11)-D11</f>
        <v>4470945.5199999996</v>
      </c>
      <c r="I11" s="48" t="s">
        <v>150</v>
      </c>
      <c r="J11" s="69">
        <f>SUM('CORTE MAYO 31-25'!H10)</f>
        <v>0</v>
      </c>
      <c r="K11" s="65" t="s">
        <v>153</v>
      </c>
    </row>
    <row r="12" spans="1:13" x14ac:dyDescent="0.25">
      <c r="A12" s="22"/>
      <c r="B12" s="57"/>
      <c r="C12" s="60"/>
      <c r="D12" s="8"/>
      <c r="E12" s="36">
        <f t="shared" si="0"/>
        <v>4470945.5199999996</v>
      </c>
      <c r="G12" s="10"/>
      <c r="I12" s="48" t="s">
        <v>151</v>
      </c>
      <c r="J12" s="67">
        <v>4423867</v>
      </c>
      <c r="K12" t="s">
        <v>160</v>
      </c>
    </row>
    <row r="13" spans="1:13" s="11" customFormat="1" ht="15.75" x14ac:dyDescent="0.25">
      <c r="A13" s="22"/>
      <c r="B13" s="57"/>
      <c r="C13" s="60"/>
      <c r="D13" s="9"/>
      <c r="E13" s="36">
        <f t="shared" si="0"/>
        <v>4470945.5199999996</v>
      </c>
      <c r="F13"/>
      <c r="G13" s="55"/>
      <c r="H13" s="44"/>
      <c r="I13" s="44"/>
      <c r="J13" s="44"/>
    </row>
    <row r="14" spans="1:13" s="11" customFormat="1" ht="15.75" hidden="1" x14ac:dyDescent="0.25">
      <c r="A14" s="22"/>
      <c r="B14" s="57"/>
      <c r="C14" s="60"/>
      <c r="D14" s="9"/>
      <c r="E14" s="36">
        <f t="shared" si="0"/>
        <v>4470945.5199999996</v>
      </c>
      <c r="F14"/>
      <c r="G14" s="55"/>
      <c r="H14" s="44"/>
      <c r="I14" s="44"/>
      <c r="J14" s="56"/>
    </row>
    <row r="15" spans="1:13" s="11" customFormat="1" ht="15.75" hidden="1" x14ac:dyDescent="0.25">
      <c r="A15" s="22"/>
      <c r="B15" s="57"/>
      <c r="C15" s="60"/>
      <c r="D15" s="9"/>
      <c r="E15" s="36">
        <f t="shared" si="0"/>
        <v>4470945.5199999996</v>
      </c>
      <c r="F15"/>
      <c r="G15" s="55"/>
      <c r="H15" s="44"/>
      <c r="I15" s="70" t="s">
        <v>158</v>
      </c>
      <c r="J15" s="71">
        <f>SUM(J11:J12)</f>
        <v>4423867</v>
      </c>
    </row>
    <row r="16" spans="1:13" s="11" customFormat="1" ht="15.75" hidden="1" x14ac:dyDescent="0.25">
      <c r="A16" s="22"/>
      <c r="B16" s="58"/>
      <c r="C16" s="60"/>
      <c r="D16" s="9"/>
      <c r="E16" s="36">
        <f t="shared" si="0"/>
        <v>4470945.5199999996</v>
      </c>
      <c r="F16"/>
      <c r="G16" s="55"/>
      <c r="H16" s="44"/>
      <c r="I16" s="44"/>
      <c r="J16" s="56"/>
    </row>
    <row r="17" spans="1:10" s="11" customFormat="1" ht="15.75" hidden="1" x14ac:dyDescent="0.25">
      <c r="A17" s="22"/>
      <c r="B17" s="59"/>
      <c r="C17" s="60"/>
      <c r="D17" s="9"/>
      <c r="E17" s="36">
        <f t="shared" si="0"/>
        <v>4470945.5199999996</v>
      </c>
      <c r="F17"/>
      <c r="G17" s="55"/>
      <c r="H17" s="44"/>
      <c r="I17" s="70" t="s">
        <v>161</v>
      </c>
      <c r="J17" s="55">
        <f>J10-J12</f>
        <v>47078.519999999553</v>
      </c>
    </row>
    <row r="18" spans="1:10" s="11" customFormat="1" ht="15.75" hidden="1" x14ac:dyDescent="0.25">
      <c r="A18" s="22"/>
      <c r="B18" s="57"/>
      <c r="C18" s="60"/>
      <c r="D18" s="9"/>
      <c r="E18" s="36">
        <f t="shared" si="0"/>
        <v>4470945.5199999996</v>
      </c>
      <c r="F18"/>
      <c r="G18" s="55"/>
      <c r="H18" s="44"/>
      <c r="I18" s="44"/>
      <c r="J18" s="44"/>
    </row>
    <row r="19" spans="1:10" s="11" customFormat="1" ht="15.75" hidden="1" x14ac:dyDescent="0.25">
      <c r="A19" s="22"/>
      <c r="B19" s="58"/>
      <c r="C19" s="60"/>
      <c r="D19" s="9"/>
      <c r="E19" s="36">
        <f t="shared" si="0"/>
        <v>4470945.5199999996</v>
      </c>
      <c r="F19"/>
      <c r="G19" s="55"/>
      <c r="H19" s="44"/>
      <c r="I19" s="44"/>
      <c r="J19" s="56"/>
    </row>
    <row r="20" spans="1:10" hidden="1" x14ac:dyDescent="0.25">
      <c r="A20" s="22"/>
      <c r="B20" s="59"/>
      <c r="C20" s="60"/>
      <c r="D20" s="9"/>
      <c r="E20" s="36">
        <f t="shared" si="0"/>
        <v>4470945.5199999996</v>
      </c>
    </row>
    <row r="21" spans="1:10" hidden="1" x14ac:dyDescent="0.25">
      <c r="A21" s="22"/>
      <c r="B21" s="59"/>
      <c r="C21" s="60"/>
      <c r="D21" s="9"/>
      <c r="E21" s="36">
        <f t="shared" si="0"/>
        <v>4470945.5199999996</v>
      </c>
    </row>
    <row r="22" spans="1:10" x14ac:dyDescent="0.25">
      <c r="A22" s="22"/>
      <c r="B22" s="58"/>
      <c r="C22" s="60"/>
      <c r="D22" s="9"/>
      <c r="E22" s="36">
        <f t="shared" si="0"/>
        <v>4470945.5199999996</v>
      </c>
    </row>
    <row r="23" spans="1:10" x14ac:dyDescent="0.25">
      <c r="A23" s="22"/>
      <c r="B23" s="58"/>
      <c r="C23" s="60"/>
      <c r="D23" s="9"/>
      <c r="E23" s="36">
        <f>(E22+C23)-D23</f>
        <v>4470945.5199999996</v>
      </c>
    </row>
    <row r="24" spans="1:10" x14ac:dyDescent="0.25">
      <c r="A24" s="22"/>
      <c r="B24" s="58"/>
      <c r="C24" s="60"/>
      <c r="D24" s="9"/>
      <c r="E24" s="36">
        <f>(E23+C24)-D24</f>
        <v>4470945.5199999996</v>
      </c>
    </row>
    <row r="25" spans="1:10" hidden="1" x14ac:dyDescent="0.25">
      <c r="A25" s="22"/>
      <c r="B25" s="58"/>
      <c r="C25" s="60"/>
      <c r="D25" s="9"/>
      <c r="E25" s="36">
        <f>(E24+C25)-D25</f>
        <v>4470945.5199999996</v>
      </c>
    </row>
    <row r="26" spans="1:10" hidden="1" x14ac:dyDescent="0.25">
      <c r="A26" s="22"/>
      <c r="B26" s="58"/>
      <c r="C26" s="60"/>
      <c r="D26" s="9"/>
      <c r="E26" s="36">
        <f t="shared" ref="E26:E32" si="1">(E25+C26)-D26</f>
        <v>4470945.5199999996</v>
      </c>
    </row>
    <row r="27" spans="1:10" hidden="1" x14ac:dyDescent="0.25">
      <c r="A27" s="22"/>
      <c r="B27" s="40"/>
      <c r="C27" s="8"/>
      <c r="D27" s="9"/>
      <c r="E27" s="36">
        <f t="shared" si="1"/>
        <v>4470945.5199999996</v>
      </c>
    </row>
    <row r="28" spans="1:10" hidden="1" x14ac:dyDescent="0.25">
      <c r="A28" s="22"/>
      <c r="B28" s="40"/>
      <c r="C28" s="8"/>
      <c r="D28" s="9"/>
      <c r="E28" s="36">
        <f t="shared" si="1"/>
        <v>4470945.5199999996</v>
      </c>
    </row>
    <row r="29" spans="1:10" x14ac:dyDescent="0.25">
      <c r="A29" s="22"/>
      <c r="B29" s="17"/>
      <c r="C29" s="8"/>
      <c r="D29" s="9"/>
      <c r="E29" s="36">
        <f t="shared" si="1"/>
        <v>4470945.5199999996</v>
      </c>
    </row>
    <row r="30" spans="1:10" x14ac:dyDescent="0.25">
      <c r="A30" s="22"/>
      <c r="B30" s="17"/>
      <c r="C30" s="8"/>
      <c r="D30" s="9"/>
      <c r="E30" s="36">
        <f t="shared" si="1"/>
        <v>4470945.5199999996</v>
      </c>
      <c r="F30" s="48"/>
    </row>
    <row r="31" spans="1:10" x14ac:dyDescent="0.25">
      <c r="A31" s="22"/>
      <c r="B31" s="17"/>
      <c r="C31" s="8"/>
      <c r="D31" s="9"/>
      <c r="E31" s="36">
        <f t="shared" si="1"/>
        <v>4470945.5199999996</v>
      </c>
    </row>
    <row r="32" spans="1:10" x14ac:dyDescent="0.25">
      <c r="A32" s="22"/>
      <c r="B32" s="17"/>
      <c r="C32" s="8"/>
      <c r="D32" s="9"/>
      <c r="E32" s="36">
        <f t="shared" si="1"/>
        <v>4470945.5199999996</v>
      </c>
    </row>
    <row r="33" spans="1:8" ht="15.75" x14ac:dyDescent="0.25">
      <c r="A33" s="24"/>
      <c r="B33" s="25" t="s">
        <v>12</v>
      </c>
      <c r="C33" s="26">
        <f>SUM(C10:C32)</f>
        <v>0</v>
      </c>
      <c r="D33" s="26">
        <f>SUM(D9:D32)</f>
        <v>0</v>
      </c>
      <c r="E33" s="35">
        <f>E32</f>
        <v>4470945.5199999996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4470945.5199999996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0</v>
      </c>
      <c r="D37" s="30"/>
    </row>
    <row r="38" spans="1:8" ht="15.75" x14ac:dyDescent="0.25">
      <c r="A38" s="28"/>
      <c r="B38" s="15" t="s">
        <v>130</v>
      </c>
      <c r="C38" s="14"/>
      <c r="D38" s="30"/>
    </row>
    <row r="39" spans="1:8" ht="15.75" x14ac:dyDescent="0.25">
      <c r="A39" s="28"/>
      <c r="B39" s="26" t="s">
        <v>16</v>
      </c>
      <c r="C39" s="26">
        <f>C36+C37</f>
        <v>4470945.5199999996</v>
      </c>
      <c r="D39" s="30" t="s">
        <v>142</v>
      </c>
      <c r="H39" s="10"/>
    </row>
    <row r="40" spans="1:8" ht="15.75" x14ac:dyDescent="0.25">
      <c r="A40" s="28"/>
      <c r="B40" s="42" t="s">
        <v>7</v>
      </c>
      <c r="C40" s="16">
        <f>+D33</f>
        <v>0</v>
      </c>
      <c r="D40" s="30"/>
    </row>
    <row r="41" spans="1:8" ht="15.75" x14ac:dyDescent="0.25">
      <c r="B41" s="26" t="s">
        <v>17</v>
      </c>
      <c r="C41" s="26">
        <f>E33</f>
        <v>4470945.5199999996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137</v>
      </c>
      <c r="C44" s="45"/>
    </row>
    <row r="45" spans="1:8" x14ac:dyDescent="0.25">
      <c r="B45" s="13" t="s">
        <v>138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284C-2C4A-49E2-A3E1-279597636AE8}">
  <dimension ref="A1:I29"/>
  <sheetViews>
    <sheetView topLeftCell="A4" zoomScale="119" zoomScaleNormal="100" workbookViewId="0">
      <selection activeCell="C15" sqref="C15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25.7109375" customWidth="1"/>
  </cols>
  <sheetData>
    <row r="1" spans="1:9" x14ac:dyDescent="0.25">
      <c r="A1" s="1"/>
      <c r="B1" s="1"/>
      <c r="C1" s="1"/>
      <c r="D1" s="1"/>
    </row>
    <row r="2" spans="1:9" x14ac:dyDescent="0.25">
      <c r="A2" s="2"/>
      <c r="B2" s="89" t="s">
        <v>0</v>
      </c>
      <c r="C2" s="90"/>
      <c r="D2" s="91"/>
      <c r="E2" s="3"/>
    </row>
    <row r="3" spans="1:9" x14ac:dyDescent="0.25">
      <c r="A3" s="2"/>
      <c r="B3" s="92" t="s">
        <v>1</v>
      </c>
      <c r="C3" s="93"/>
      <c r="D3" s="94"/>
      <c r="E3" s="4"/>
    </row>
    <row r="4" spans="1:9" ht="19.5" customHeight="1" x14ac:dyDescent="0.25">
      <c r="A4" s="2"/>
      <c r="B4" s="95" t="s">
        <v>2</v>
      </c>
      <c r="C4" s="96"/>
      <c r="D4" s="97"/>
      <c r="E4" s="43"/>
    </row>
    <row r="5" spans="1:9" x14ac:dyDescent="0.25">
      <c r="A5" s="1"/>
      <c r="B5" s="1"/>
      <c r="C5" s="1"/>
      <c r="D5" s="1"/>
    </row>
    <row r="6" spans="1:9" s="6" customFormat="1" ht="20.25" customHeight="1" x14ac:dyDescent="0.3">
      <c r="A6" s="98" t="s">
        <v>148</v>
      </c>
      <c r="B6" s="99"/>
      <c r="C6" s="99"/>
      <c r="D6" s="99"/>
      <c r="E6" s="100"/>
      <c r="F6"/>
    </row>
    <row r="7" spans="1:9" x14ac:dyDescent="0.25">
      <c r="A7" s="1"/>
      <c r="B7" s="1"/>
      <c r="C7" s="1"/>
      <c r="D7" s="1"/>
    </row>
    <row r="8" spans="1:9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9" ht="15.75" x14ac:dyDescent="0.25">
      <c r="A9" s="22"/>
      <c r="B9" s="7" t="s">
        <v>13</v>
      </c>
      <c r="C9" s="8"/>
      <c r="D9" s="9"/>
      <c r="E9" s="26">
        <f>'CORTE JUNIO 30-25'!C41</f>
        <v>4470945.5199999996</v>
      </c>
      <c r="H9" s="10"/>
      <c r="I9" s="83"/>
    </row>
    <row r="10" spans="1:9" x14ac:dyDescent="0.25">
      <c r="A10" s="22"/>
      <c r="B10" s="7" t="s">
        <v>167</v>
      </c>
      <c r="C10" s="8">
        <f>3500000</f>
        <v>3500000</v>
      </c>
      <c r="D10" s="9">
        <v>0</v>
      </c>
      <c r="E10" s="36">
        <f>(E9+C10)-D10</f>
        <v>7970945.5199999996</v>
      </c>
      <c r="H10" s="10"/>
      <c r="I10" s="83"/>
    </row>
    <row r="11" spans="1:9" x14ac:dyDescent="0.25">
      <c r="A11" s="22">
        <v>45854</v>
      </c>
      <c r="B11" s="59" t="s">
        <v>165</v>
      </c>
      <c r="C11" s="60">
        <v>0</v>
      </c>
      <c r="D11" s="8">
        <v>1000000</v>
      </c>
      <c r="E11" s="36">
        <f t="shared" ref="E11:E14" si="0">(E10+C11)-D11</f>
        <v>6970945.5199999996</v>
      </c>
      <c r="H11" s="10"/>
      <c r="I11" s="83"/>
    </row>
    <row r="12" spans="1:9" x14ac:dyDescent="0.25">
      <c r="A12" s="22">
        <v>45869</v>
      </c>
      <c r="B12" s="41" t="s">
        <v>166</v>
      </c>
      <c r="C12" s="8">
        <v>0</v>
      </c>
      <c r="D12" s="9">
        <v>2672000</v>
      </c>
      <c r="E12" s="36">
        <f t="shared" si="0"/>
        <v>4298945.5199999996</v>
      </c>
      <c r="H12" s="10"/>
      <c r="I12" s="83"/>
    </row>
    <row r="13" spans="1:9" x14ac:dyDescent="0.25">
      <c r="A13" s="22">
        <v>45861</v>
      </c>
      <c r="B13" s="41" t="s">
        <v>164</v>
      </c>
      <c r="C13" s="8">
        <v>0</v>
      </c>
      <c r="D13" s="9">
        <v>395000</v>
      </c>
      <c r="E13" s="36">
        <f t="shared" si="0"/>
        <v>3903945.5199999996</v>
      </c>
      <c r="H13" s="10"/>
      <c r="I13" s="83"/>
    </row>
    <row r="14" spans="1:9" x14ac:dyDescent="0.25">
      <c r="A14" s="22">
        <v>45869</v>
      </c>
      <c r="B14" s="41" t="s">
        <v>166</v>
      </c>
      <c r="C14" s="8">
        <v>0</v>
      </c>
      <c r="D14" s="9">
        <v>2762000</v>
      </c>
      <c r="E14" s="36">
        <f t="shared" si="0"/>
        <v>1141945.5199999996</v>
      </c>
      <c r="G14" s="10"/>
      <c r="H14" s="10"/>
      <c r="I14" s="83"/>
    </row>
    <row r="15" spans="1:9" ht="15.75" x14ac:dyDescent="0.25">
      <c r="A15" s="24"/>
      <c r="B15" s="25" t="s">
        <v>12</v>
      </c>
      <c r="C15" s="26">
        <f>SUM(C9:C14)</f>
        <v>3500000</v>
      </c>
      <c r="D15" s="26">
        <f>SUM(D10:D14)</f>
        <v>6829000</v>
      </c>
      <c r="E15" s="35">
        <f>E14</f>
        <v>1141945.5199999996</v>
      </c>
      <c r="H15" s="10"/>
      <c r="I15" s="83"/>
    </row>
    <row r="16" spans="1:9" ht="15.75" x14ac:dyDescent="0.25">
      <c r="A16" s="24"/>
      <c r="B16" s="37"/>
      <c r="C16" s="38"/>
      <c r="D16" s="38"/>
      <c r="E16" s="39"/>
      <c r="H16" s="10"/>
      <c r="I16" s="83"/>
    </row>
    <row r="17" spans="1:8" ht="15.75" x14ac:dyDescent="0.25">
      <c r="A17" s="24"/>
      <c r="B17" s="37"/>
      <c r="C17" s="38"/>
      <c r="D17" s="38"/>
    </row>
    <row r="18" spans="1:8" ht="15.75" x14ac:dyDescent="0.25">
      <c r="A18" s="28"/>
      <c r="B18" s="31" t="s">
        <v>13</v>
      </c>
      <c r="C18" s="35">
        <f>E9</f>
        <v>4470945.5199999996</v>
      </c>
      <c r="D18" s="30"/>
      <c r="E18" s="10"/>
    </row>
    <row r="19" spans="1:8" ht="15.75" x14ac:dyDescent="0.25">
      <c r="A19" s="28"/>
      <c r="B19" s="31" t="s">
        <v>6</v>
      </c>
      <c r="C19" s="16">
        <f>C15</f>
        <v>3500000</v>
      </c>
      <c r="D19" s="30"/>
    </row>
    <row r="20" spans="1:8" ht="15.75" x14ac:dyDescent="0.25">
      <c r="A20" s="28"/>
      <c r="B20" s="15" t="s">
        <v>130</v>
      </c>
      <c r="C20" s="14"/>
      <c r="D20" s="30"/>
    </row>
    <row r="21" spans="1:8" ht="15.75" x14ac:dyDescent="0.25">
      <c r="A21" s="28"/>
      <c r="B21" s="26" t="s">
        <v>16</v>
      </c>
      <c r="C21" s="26">
        <f>C18+C19</f>
        <v>7970945.5199999996</v>
      </c>
      <c r="D21" s="30" t="s">
        <v>142</v>
      </c>
      <c r="H21" s="10"/>
    </row>
    <row r="22" spans="1:8" ht="15.75" x14ac:dyDescent="0.25">
      <c r="A22" s="28"/>
      <c r="B22" s="42" t="s">
        <v>7</v>
      </c>
      <c r="C22" s="16">
        <f>+D15</f>
        <v>6829000</v>
      </c>
      <c r="D22" s="30"/>
    </row>
    <row r="23" spans="1:8" ht="15.75" x14ac:dyDescent="0.25">
      <c r="B23" s="26" t="s">
        <v>17</v>
      </c>
      <c r="C23" s="26">
        <f>E15</f>
        <v>1141945.5199999996</v>
      </c>
    </row>
    <row r="24" spans="1:8" ht="21" x14ac:dyDescent="0.35">
      <c r="C24" s="45"/>
    </row>
    <row r="25" spans="1:8" x14ac:dyDescent="0.25">
      <c r="E25" s="47"/>
    </row>
    <row r="26" spans="1:8" ht="21" x14ac:dyDescent="0.35">
      <c r="B26" s="13" t="s">
        <v>145</v>
      </c>
      <c r="C26" s="45"/>
    </row>
    <row r="27" spans="1:8" x14ac:dyDescent="0.25">
      <c r="B27" s="13" t="s">
        <v>19</v>
      </c>
    </row>
    <row r="28" spans="1:8" x14ac:dyDescent="0.25">
      <c r="B28" s="13"/>
    </row>
    <row r="29" spans="1:8" ht="21" x14ac:dyDescent="0.35">
      <c r="C29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CB18-C4A2-AC46-B963-ECCEC66A2F9B}">
  <dimension ref="A1:J33"/>
  <sheetViews>
    <sheetView topLeftCell="A2" workbookViewId="0">
      <selection activeCell="C19" sqref="C19"/>
    </sheetView>
  </sheetViews>
  <sheetFormatPr baseColWidth="10" defaultColWidth="11.42578125" defaultRowHeight="15" x14ac:dyDescent="0.25"/>
  <cols>
    <col min="1" max="1" width="12.7109375" customWidth="1"/>
    <col min="2" max="2" width="66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14.28515625" customWidth="1"/>
    <col min="10" max="10" width="13.710937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191</v>
      </c>
      <c r="B6" s="99"/>
      <c r="C6" s="99"/>
      <c r="D6" s="99"/>
      <c r="E6" s="100"/>
      <c r="F6"/>
      <c r="G6"/>
      <c r="H6"/>
      <c r="I6"/>
      <c r="J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JULIO 31-25'!C23</f>
        <v>1141945.5199999996</v>
      </c>
    </row>
    <row r="10" spans="1:10" x14ac:dyDescent="0.25">
      <c r="A10" s="22"/>
      <c r="B10" s="84" t="s">
        <v>175</v>
      </c>
      <c r="C10" s="8">
        <v>3980000</v>
      </c>
      <c r="D10" s="8">
        <v>0</v>
      </c>
      <c r="E10" s="36">
        <f>(E9+C10)-D10</f>
        <v>5121945.5199999996</v>
      </c>
    </row>
    <row r="11" spans="1:10" x14ac:dyDescent="0.25">
      <c r="A11" s="22">
        <v>45870</v>
      </c>
      <c r="B11" s="41" t="s">
        <v>174</v>
      </c>
      <c r="C11" s="8">
        <v>101000</v>
      </c>
      <c r="D11" s="8">
        <v>0</v>
      </c>
      <c r="E11" s="36">
        <f>(E10+C11)-D11</f>
        <v>5222945.5199999996</v>
      </c>
    </row>
    <row r="12" spans="1:10" x14ac:dyDescent="0.25">
      <c r="A12" s="22">
        <v>45870</v>
      </c>
      <c r="B12" s="41" t="s">
        <v>168</v>
      </c>
      <c r="C12" s="46">
        <v>0</v>
      </c>
      <c r="D12" s="8">
        <v>1000000</v>
      </c>
      <c r="E12" s="36">
        <f>(E11+C12)-D12</f>
        <v>4222945.5199999996</v>
      </c>
    </row>
    <row r="13" spans="1:10" x14ac:dyDescent="0.25">
      <c r="A13" s="22">
        <v>45870</v>
      </c>
      <c r="B13" s="41" t="s">
        <v>169</v>
      </c>
      <c r="C13" s="46">
        <v>0</v>
      </c>
      <c r="D13" s="8">
        <v>362000</v>
      </c>
      <c r="E13" s="36">
        <f>(E12+C13)-D13</f>
        <v>3860945.5199999996</v>
      </c>
    </row>
    <row r="14" spans="1:10" x14ac:dyDescent="0.25">
      <c r="A14" s="22">
        <v>45872</v>
      </c>
      <c r="B14" s="41" t="s">
        <v>170</v>
      </c>
      <c r="C14" s="46">
        <v>0</v>
      </c>
      <c r="D14" s="8">
        <v>281500</v>
      </c>
      <c r="E14" s="36">
        <f>(E13+C14)-D14</f>
        <v>3579445.5199999996</v>
      </c>
    </row>
    <row r="15" spans="1:10" x14ac:dyDescent="0.25">
      <c r="A15" s="22">
        <v>45873</v>
      </c>
      <c r="B15" s="41" t="s">
        <v>171</v>
      </c>
      <c r="C15" s="46">
        <v>0</v>
      </c>
      <c r="D15" s="8">
        <v>1546300</v>
      </c>
      <c r="E15" s="36">
        <f t="shared" ref="E15:E17" si="0">(E14+C15)-D15</f>
        <v>2033145.5199999996</v>
      </c>
    </row>
    <row r="16" spans="1:10" x14ac:dyDescent="0.25">
      <c r="A16" s="22">
        <v>45873</v>
      </c>
      <c r="B16" s="41" t="s">
        <v>172</v>
      </c>
      <c r="C16" s="46">
        <v>0</v>
      </c>
      <c r="D16" s="8">
        <v>1000000</v>
      </c>
      <c r="E16" s="36">
        <f t="shared" si="0"/>
        <v>1033145.5199999996</v>
      </c>
    </row>
    <row r="17" spans="1:6" x14ac:dyDescent="0.25">
      <c r="A17" s="22">
        <v>45873</v>
      </c>
      <c r="B17" s="41" t="s">
        <v>173</v>
      </c>
      <c r="C17" s="46">
        <v>860000</v>
      </c>
      <c r="D17" s="8">
        <v>0</v>
      </c>
      <c r="E17" s="36">
        <f>(E16+C17)-D17</f>
        <v>1893145.5199999996</v>
      </c>
    </row>
    <row r="18" spans="1:6" ht="15.75" x14ac:dyDescent="0.25">
      <c r="A18" s="24"/>
      <c r="B18" s="25" t="s">
        <v>12</v>
      </c>
      <c r="C18" s="26">
        <f>SUM(C10:C17)</f>
        <v>4941000</v>
      </c>
      <c r="D18" s="26">
        <f>SUM(D10:D17)</f>
        <v>4189800</v>
      </c>
      <c r="E18" s="35">
        <f>E17</f>
        <v>1893145.5199999996</v>
      </c>
    </row>
    <row r="19" spans="1:6" ht="15.75" x14ac:dyDescent="0.25">
      <c r="A19" s="24"/>
      <c r="B19" s="37"/>
      <c r="C19" s="38"/>
      <c r="D19" s="38"/>
      <c r="E19" s="39"/>
    </row>
    <row r="20" spans="1:6" ht="15.75" x14ac:dyDescent="0.25">
      <c r="A20" s="24"/>
      <c r="B20" s="37"/>
      <c r="C20" s="38"/>
      <c r="D20" s="38"/>
    </row>
    <row r="21" spans="1:6" ht="15.75" x14ac:dyDescent="0.25">
      <c r="A21" s="28"/>
      <c r="B21" s="31" t="s">
        <v>13</v>
      </c>
      <c r="C21" s="35">
        <f>E9</f>
        <v>1141945.5199999996</v>
      </c>
      <c r="D21" s="30"/>
      <c r="E21" s="10"/>
    </row>
    <row r="22" spans="1:6" ht="15.75" x14ac:dyDescent="0.25">
      <c r="A22" s="28"/>
      <c r="B22" s="31" t="s">
        <v>6</v>
      </c>
      <c r="C22" s="16">
        <f>C18</f>
        <v>4941000</v>
      </c>
      <c r="D22" s="30"/>
    </row>
    <row r="23" spans="1:6" ht="15.75" x14ac:dyDescent="0.25">
      <c r="A23" s="28"/>
      <c r="B23" s="15" t="s">
        <v>130</v>
      </c>
      <c r="C23" s="14">
        <v>0</v>
      </c>
      <c r="D23" s="30"/>
    </row>
    <row r="24" spans="1:6" ht="15.75" x14ac:dyDescent="0.25">
      <c r="A24" s="28"/>
      <c r="B24" s="26" t="s">
        <v>16</v>
      </c>
      <c r="C24" s="26">
        <f>C21+C22</f>
        <v>6082945.5199999996</v>
      </c>
      <c r="D24" s="30"/>
      <c r="F24" s="48"/>
    </row>
    <row r="25" spans="1:6" ht="15.75" x14ac:dyDescent="0.25">
      <c r="A25" s="28"/>
      <c r="B25" s="42" t="s">
        <v>7</v>
      </c>
      <c r="C25" s="16">
        <f>+D18</f>
        <v>4189800</v>
      </c>
      <c r="D25" s="30"/>
    </row>
    <row r="26" spans="1:6" ht="15.75" x14ac:dyDescent="0.25">
      <c r="B26" s="26" t="s">
        <v>17</v>
      </c>
      <c r="C26" s="26">
        <f>E18</f>
        <v>1893145.5199999996</v>
      </c>
    </row>
    <row r="27" spans="1:6" ht="21" x14ac:dyDescent="0.35">
      <c r="C27" s="45"/>
    </row>
    <row r="28" spans="1:6" x14ac:dyDescent="0.25">
      <c r="E28" s="47"/>
    </row>
    <row r="29" spans="1:6" ht="21" x14ac:dyDescent="0.35">
      <c r="B29" s="13" t="s">
        <v>145</v>
      </c>
      <c r="C29" s="45"/>
    </row>
    <row r="30" spans="1:6" x14ac:dyDescent="0.25">
      <c r="B30" s="13" t="s">
        <v>19</v>
      </c>
    </row>
    <row r="31" spans="1:6" x14ac:dyDescent="0.25">
      <c r="B31" s="13"/>
    </row>
    <row r="32" spans="1:6" ht="21" x14ac:dyDescent="0.35">
      <c r="C32" s="45"/>
    </row>
    <row r="33" spans="8:8" x14ac:dyDescent="0.25">
      <c r="H33" s="10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4FFE-BB73-4D29-8553-168F44E6BC0C}">
  <dimension ref="A1:K31"/>
  <sheetViews>
    <sheetView topLeftCell="A8" workbookViewId="0">
      <selection activeCell="E18" sqref="E18"/>
    </sheetView>
  </sheetViews>
  <sheetFormatPr baseColWidth="10" defaultColWidth="11.42578125" defaultRowHeight="15" x14ac:dyDescent="0.25"/>
  <cols>
    <col min="1" max="1" width="12.7109375" customWidth="1"/>
    <col min="2" max="2" width="66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30.42578125" bestFit="1" customWidth="1"/>
    <col min="10" max="10" width="13.710937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89" t="s">
        <v>0</v>
      </c>
      <c r="C2" s="90"/>
      <c r="D2" s="91"/>
      <c r="E2" s="3"/>
    </row>
    <row r="3" spans="1:10" x14ac:dyDescent="0.25">
      <c r="A3" s="2"/>
      <c r="B3" s="92" t="s">
        <v>1</v>
      </c>
      <c r="C3" s="93"/>
      <c r="D3" s="94"/>
      <c r="E3" s="4"/>
    </row>
    <row r="4" spans="1:10" ht="19.5" customHeight="1" x14ac:dyDescent="0.25">
      <c r="A4" s="2"/>
      <c r="B4" s="95" t="s">
        <v>2</v>
      </c>
      <c r="C4" s="96"/>
      <c r="D4" s="97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8" t="s">
        <v>192</v>
      </c>
      <c r="B6" s="99"/>
      <c r="C6" s="99"/>
      <c r="D6" s="99"/>
      <c r="E6" s="100"/>
      <c r="F6"/>
      <c r="G6"/>
      <c r="H6"/>
      <c r="I6"/>
      <c r="J6"/>
    </row>
    <row r="7" spans="1:10" ht="15.75" x14ac:dyDescent="0.25">
      <c r="A7" s="1"/>
      <c r="B7" s="1"/>
      <c r="C7" s="1"/>
      <c r="D7" s="1"/>
      <c r="G7" s="55"/>
      <c r="H7" s="44"/>
      <c r="I7" s="44"/>
      <c r="J7" s="56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AGOSTO 31-25'!C26</f>
        <v>1893145.5199999996</v>
      </c>
      <c r="I9" s="86" t="s">
        <v>162</v>
      </c>
      <c r="J9" s="85">
        <f>'CORTE JUNIO 30-25'!J12</f>
        <v>4423867</v>
      </c>
    </row>
    <row r="10" spans="1:10" ht="15.75" x14ac:dyDescent="0.25">
      <c r="A10" s="22"/>
      <c r="B10" s="7" t="s">
        <v>180</v>
      </c>
      <c r="C10" s="8">
        <v>1620000</v>
      </c>
      <c r="D10" s="9">
        <v>0</v>
      </c>
      <c r="E10" s="36">
        <f>(E9+C10)-D10</f>
        <v>3513145.5199999996</v>
      </c>
      <c r="I10" s="86" t="s">
        <v>163</v>
      </c>
      <c r="J10" s="85">
        <v>690737</v>
      </c>
    </row>
    <row r="11" spans="1:10" ht="15.75" x14ac:dyDescent="0.25">
      <c r="A11" s="22"/>
      <c r="B11" s="7" t="s">
        <v>182</v>
      </c>
      <c r="C11" s="8">
        <v>11975</v>
      </c>
      <c r="D11" s="9">
        <v>0</v>
      </c>
      <c r="E11" s="36">
        <f t="shared" ref="E11:E16" si="0">(E10+C11)-D11</f>
        <v>3525120.5199999996</v>
      </c>
      <c r="I11" s="86"/>
      <c r="J11" s="85"/>
    </row>
    <row r="12" spans="1:10" s="11" customFormat="1" ht="15.75" x14ac:dyDescent="0.25">
      <c r="A12" s="22">
        <v>45910</v>
      </c>
      <c r="B12" s="40" t="s">
        <v>176</v>
      </c>
      <c r="C12" s="8">
        <v>360000</v>
      </c>
      <c r="D12" s="9">
        <v>0</v>
      </c>
      <c r="E12" s="36">
        <f t="shared" si="0"/>
        <v>3885120.5199999996</v>
      </c>
      <c r="F12"/>
      <c r="G12"/>
      <c r="H12"/>
      <c r="I12" s="86" t="s">
        <v>181</v>
      </c>
      <c r="J12" s="85">
        <v>4718042</v>
      </c>
    </row>
    <row r="13" spans="1:10" s="11" customFormat="1" ht="15.75" x14ac:dyDescent="0.25">
      <c r="A13" s="22">
        <v>45911</v>
      </c>
      <c r="B13" s="40" t="s">
        <v>177</v>
      </c>
      <c r="C13" s="8">
        <v>140000</v>
      </c>
      <c r="D13" s="9">
        <v>0</v>
      </c>
      <c r="E13" s="36">
        <f t="shared" si="0"/>
        <v>4025120.5199999996</v>
      </c>
      <c r="F13"/>
      <c r="G13"/>
      <c r="H13"/>
      <c r="I13" s="81"/>
      <c r="J13" s="81"/>
    </row>
    <row r="14" spans="1:10" s="11" customFormat="1" ht="15.75" x14ac:dyDescent="0.25">
      <c r="A14" s="22">
        <v>45911</v>
      </c>
      <c r="B14" s="40" t="s">
        <v>178</v>
      </c>
      <c r="C14" s="8">
        <v>140000</v>
      </c>
      <c r="D14" s="9">
        <v>0</v>
      </c>
      <c r="E14" s="36">
        <f t="shared" si="0"/>
        <v>4165120.5199999996</v>
      </c>
      <c r="F14"/>
      <c r="G14"/>
      <c r="H14"/>
      <c r="I14" s="81"/>
      <c r="J14" s="82"/>
    </row>
    <row r="15" spans="1:10" s="11" customFormat="1" ht="15.75" x14ac:dyDescent="0.25">
      <c r="A15" s="22">
        <v>45911</v>
      </c>
      <c r="B15" s="40" t="s">
        <v>179</v>
      </c>
      <c r="C15" s="8">
        <v>600000</v>
      </c>
      <c r="D15" s="9">
        <v>0</v>
      </c>
      <c r="E15" s="36">
        <f t="shared" si="0"/>
        <v>4765120.5199999996</v>
      </c>
      <c r="F15"/>
      <c r="G15"/>
      <c r="H15"/>
      <c r="I15" s="81"/>
      <c r="J15" s="82"/>
    </row>
    <row r="16" spans="1:10" s="11" customFormat="1" ht="15.75" x14ac:dyDescent="0.25">
      <c r="A16" s="101"/>
      <c r="B16" s="40" t="s">
        <v>194</v>
      </c>
      <c r="C16" s="8"/>
      <c r="D16" s="9">
        <v>47079</v>
      </c>
      <c r="E16" s="36">
        <f t="shared" si="0"/>
        <v>4718041.5199999996</v>
      </c>
      <c r="F16"/>
      <c r="G16"/>
      <c r="H16"/>
      <c r="I16" s="81"/>
      <c r="J16" s="82"/>
    </row>
    <row r="17" spans="1:11" ht="15.75" x14ac:dyDescent="0.25">
      <c r="A17" s="24"/>
      <c r="B17" s="25" t="s">
        <v>12</v>
      </c>
      <c r="C17" s="26">
        <f>SUM(C12:C15)</f>
        <v>1240000</v>
      </c>
      <c r="D17" s="26">
        <f>SUM(D9:D16)</f>
        <v>47079</v>
      </c>
      <c r="E17" s="35">
        <f>E16</f>
        <v>4718041.5199999996</v>
      </c>
      <c r="F17" s="10"/>
      <c r="I17" s="81"/>
      <c r="J17" s="82"/>
      <c r="K17" s="11"/>
    </row>
    <row r="18" spans="1:11" ht="15.75" x14ac:dyDescent="0.25">
      <c r="A18" s="24"/>
      <c r="B18" s="37"/>
      <c r="C18" s="38"/>
      <c r="D18" s="38"/>
      <c r="E18" s="39"/>
      <c r="I18" s="81"/>
      <c r="J18" s="82"/>
      <c r="K18" s="11"/>
    </row>
    <row r="19" spans="1:11" ht="15.75" x14ac:dyDescent="0.25">
      <c r="A19" s="24"/>
      <c r="B19" s="37"/>
      <c r="C19" s="38"/>
      <c r="D19" s="38"/>
      <c r="I19" s="81"/>
      <c r="J19" s="82"/>
      <c r="K19" s="11"/>
    </row>
    <row r="20" spans="1:11" ht="15.75" x14ac:dyDescent="0.25">
      <c r="A20" s="28"/>
      <c r="B20" s="31" t="s">
        <v>13</v>
      </c>
      <c r="C20" s="35">
        <f>E9</f>
        <v>1893145.5199999996</v>
      </c>
      <c r="D20" s="30"/>
      <c r="E20" s="10"/>
      <c r="F20" s="48"/>
      <c r="I20" s="81"/>
      <c r="J20" s="82"/>
      <c r="K20" s="11"/>
    </row>
    <row r="21" spans="1:11" ht="15.75" x14ac:dyDescent="0.25">
      <c r="A21" s="28"/>
      <c r="B21" s="31" t="s">
        <v>6</v>
      </c>
      <c r="C21" s="16">
        <f>C17</f>
        <v>1240000</v>
      </c>
      <c r="D21" s="30"/>
      <c r="I21" s="81"/>
      <c r="J21" s="82"/>
      <c r="K21" s="11"/>
    </row>
    <row r="22" spans="1:11" ht="15.75" x14ac:dyDescent="0.25">
      <c r="A22" s="28"/>
      <c r="B22" s="15" t="s">
        <v>130</v>
      </c>
      <c r="C22" s="14">
        <v>0</v>
      </c>
      <c r="D22" s="30"/>
      <c r="K22" s="11"/>
    </row>
    <row r="23" spans="1:11" ht="15.75" x14ac:dyDescent="0.25">
      <c r="A23" s="28"/>
      <c r="B23" s="26" t="s">
        <v>16</v>
      </c>
      <c r="C23" s="26">
        <f>C20+C21</f>
        <v>3133145.5199999996</v>
      </c>
      <c r="D23" s="30"/>
    </row>
    <row r="24" spans="1:11" ht="15.75" x14ac:dyDescent="0.25">
      <c r="A24" s="28"/>
      <c r="B24" s="42" t="s">
        <v>7</v>
      </c>
      <c r="C24" s="16">
        <f>+D17</f>
        <v>47079</v>
      </c>
      <c r="D24" s="30"/>
    </row>
    <row r="25" spans="1:11" ht="15.75" x14ac:dyDescent="0.25">
      <c r="B25" s="26" t="s">
        <v>17</v>
      </c>
      <c r="C25" s="26">
        <f>E17</f>
        <v>4718041.5199999996</v>
      </c>
    </row>
    <row r="26" spans="1:11" ht="21" x14ac:dyDescent="0.35">
      <c r="C26" s="45"/>
      <c r="H26" s="10"/>
    </row>
    <row r="27" spans="1:11" x14ac:dyDescent="0.25">
      <c r="E27" s="47"/>
    </row>
    <row r="28" spans="1:11" ht="21" x14ac:dyDescent="0.35">
      <c r="B28" s="13" t="s">
        <v>145</v>
      </c>
      <c r="C28" s="45"/>
    </row>
    <row r="29" spans="1:11" x14ac:dyDescent="0.25">
      <c r="B29" s="13" t="s">
        <v>19</v>
      </c>
    </row>
    <row r="30" spans="1:11" x14ac:dyDescent="0.25">
      <c r="B30" s="13"/>
    </row>
    <row r="31" spans="1:11" ht="21" x14ac:dyDescent="0.35">
      <c r="C31" s="45"/>
    </row>
  </sheetData>
  <mergeCells count="4">
    <mergeCell ref="B2:D2"/>
    <mergeCell ref="B3:D3"/>
    <mergeCell ref="B4:D4"/>
    <mergeCell ref="A6:E6"/>
  </mergeCells>
  <pageMargins left="0.25" right="0.25" top="0.75" bottom="0.75" header="0.3" footer="0.3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9947-0AE1-E84A-8977-05708A9F9919}">
  <dimension ref="A1:K30"/>
  <sheetViews>
    <sheetView topLeftCell="A8" workbookViewId="0">
      <selection activeCell="E10" sqref="E10"/>
    </sheetView>
  </sheetViews>
  <sheetFormatPr baseColWidth="10" defaultColWidth="11.42578125" defaultRowHeight="15" x14ac:dyDescent="0.25"/>
  <cols>
    <col min="1" max="1" width="12.7109375" customWidth="1"/>
    <col min="2" max="2" width="66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25.85546875" bestFit="1" customWidth="1"/>
    <col min="10" max="10" width="14.42578125" bestFit="1" customWidth="1"/>
  </cols>
  <sheetData>
    <row r="1" spans="1:11" x14ac:dyDescent="0.25">
      <c r="A1" s="1"/>
      <c r="B1" s="1"/>
      <c r="C1" s="1"/>
      <c r="D1" s="1"/>
    </row>
    <row r="2" spans="1:11" x14ac:dyDescent="0.25">
      <c r="A2" s="2"/>
      <c r="B2" s="89" t="s">
        <v>0</v>
      </c>
      <c r="C2" s="90"/>
      <c r="D2" s="91"/>
      <c r="E2" s="3"/>
    </row>
    <row r="3" spans="1:11" x14ac:dyDescent="0.25">
      <c r="A3" s="2"/>
      <c r="B3" s="92" t="s">
        <v>1</v>
      </c>
      <c r="C3" s="93"/>
      <c r="D3" s="94"/>
      <c r="E3" s="4"/>
    </row>
    <row r="4" spans="1:11" ht="19.5" customHeight="1" x14ac:dyDescent="0.25">
      <c r="A4" s="2"/>
      <c r="B4" s="95" t="s">
        <v>2</v>
      </c>
      <c r="C4" s="96"/>
      <c r="D4" s="97"/>
      <c r="E4" s="43"/>
    </row>
    <row r="5" spans="1:11" x14ac:dyDescent="0.25">
      <c r="A5" s="1"/>
      <c r="B5" s="1"/>
      <c r="C5" s="1"/>
      <c r="D5" s="1"/>
    </row>
    <row r="6" spans="1:11" s="6" customFormat="1" ht="20.25" customHeight="1" x14ac:dyDescent="0.3">
      <c r="A6" s="98" t="s">
        <v>193</v>
      </c>
      <c r="B6" s="99"/>
      <c r="C6" s="99"/>
      <c r="D6" s="99"/>
      <c r="E6" s="100"/>
      <c r="F6"/>
      <c r="G6"/>
      <c r="H6"/>
      <c r="I6"/>
      <c r="J6"/>
    </row>
    <row r="7" spans="1:11" ht="15.75" x14ac:dyDescent="0.25">
      <c r="A7" s="1"/>
      <c r="B7" s="1"/>
      <c r="C7" s="1"/>
      <c r="D7" s="1"/>
      <c r="G7" s="55"/>
      <c r="H7" s="44"/>
      <c r="I7" s="44"/>
      <c r="J7" s="56"/>
    </row>
    <row r="8" spans="1:11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1" ht="15.75" x14ac:dyDescent="0.25">
      <c r="A9" s="22"/>
      <c r="B9" s="7" t="s">
        <v>13</v>
      </c>
      <c r="C9" s="8"/>
      <c r="D9" s="9"/>
      <c r="E9" s="26">
        <f>'CORTE SEPTIEMBRE 11-25 '!C25</f>
        <v>4718041.5199999996</v>
      </c>
      <c r="I9" s="86" t="s">
        <v>162</v>
      </c>
      <c r="J9" s="85">
        <f>'CORTE JUNIO 30-25'!J12</f>
        <v>4423867</v>
      </c>
    </row>
    <row r="10" spans="1:11" ht="15.75" x14ac:dyDescent="0.25">
      <c r="A10" s="22">
        <v>45931</v>
      </c>
      <c r="B10" s="7" t="s">
        <v>184</v>
      </c>
      <c r="C10" s="8">
        <v>1913300</v>
      </c>
      <c r="D10" s="9"/>
      <c r="E10" s="36">
        <f>E9+C10-D10</f>
        <v>6631341.5199999996</v>
      </c>
      <c r="I10" s="86" t="s">
        <v>163</v>
      </c>
      <c r="J10" s="85">
        <v>690737</v>
      </c>
    </row>
    <row r="11" spans="1:11" ht="15.75" x14ac:dyDescent="0.25">
      <c r="A11" s="22">
        <v>45932</v>
      </c>
      <c r="B11" s="7" t="s">
        <v>183</v>
      </c>
      <c r="C11" s="8">
        <v>120000</v>
      </c>
      <c r="D11" s="9"/>
      <c r="E11" s="36">
        <f t="shared" ref="E11:E15" si="0">E10+C11-D11</f>
        <v>6751341.5199999996</v>
      </c>
      <c r="I11" s="86"/>
      <c r="J11" s="85"/>
    </row>
    <row r="12" spans="1:11" s="11" customFormat="1" ht="15.75" x14ac:dyDescent="0.25">
      <c r="A12" s="22">
        <v>45933</v>
      </c>
      <c r="B12" s="7" t="s">
        <v>185</v>
      </c>
      <c r="C12" s="8">
        <v>40000</v>
      </c>
      <c r="D12" s="9"/>
      <c r="E12" s="36">
        <f t="shared" si="0"/>
        <v>6791341.5199999996</v>
      </c>
      <c r="F12"/>
      <c r="G12"/>
      <c r="H12"/>
      <c r="I12" s="86" t="s">
        <v>181</v>
      </c>
      <c r="J12" s="85">
        <v>4718042</v>
      </c>
    </row>
    <row r="13" spans="1:11" s="11" customFormat="1" ht="15.75" x14ac:dyDescent="0.25">
      <c r="A13" s="22">
        <v>45934</v>
      </c>
      <c r="B13" s="87" t="s">
        <v>188</v>
      </c>
      <c r="C13" s="8"/>
      <c r="D13" s="9">
        <v>600000</v>
      </c>
      <c r="E13" s="36">
        <f t="shared" si="0"/>
        <v>6191341.5199999996</v>
      </c>
      <c r="F13"/>
      <c r="G13"/>
      <c r="H13"/>
      <c r="I13" s="81"/>
      <c r="J13" s="81"/>
    </row>
    <row r="14" spans="1:11" s="11" customFormat="1" ht="15.75" x14ac:dyDescent="0.25">
      <c r="A14" s="22">
        <v>45935</v>
      </c>
      <c r="B14" s="7" t="s">
        <v>189</v>
      </c>
      <c r="C14" s="8">
        <v>120000</v>
      </c>
      <c r="D14" s="9"/>
      <c r="E14" s="36">
        <f t="shared" si="0"/>
        <v>6311341.5199999996</v>
      </c>
      <c r="F14"/>
      <c r="G14"/>
      <c r="H14"/>
      <c r="I14" s="81"/>
      <c r="J14" s="82"/>
    </row>
    <row r="15" spans="1:11" s="11" customFormat="1" ht="15.75" x14ac:dyDescent="0.25">
      <c r="A15" s="22"/>
      <c r="B15" s="40"/>
      <c r="C15" s="8"/>
      <c r="D15" s="9"/>
      <c r="E15" s="36">
        <f t="shared" si="0"/>
        <v>6311341.5199999996</v>
      </c>
      <c r="F15"/>
      <c r="G15"/>
      <c r="H15"/>
      <c r="I15" s="81"/>
      <c r="J15" s="82"/>
    </row>
    <row r="16" spans="1:11" ht="15.75" x14ac:dyDescent="0.25">
      <c r="A16" s="24"/>
      <c r="B16" s="25" t="s">
        <v>12</v>
      </c>
      <c r="C16" s="26">
        <f>SUM(C10:C15)</f>
        <v>2193300</v>
      </c>
      <c r="D16" s="26">
        <f>SUM(D9:D15)</f>
        <v>600000</v>
      </c>
      <c r="E16" s="88">
        <f>E15</f>
        <v>6311341.5199999996</v>
      </c>
      <c r="F16" s="10"/>
      <c r="I16" s="81" t="s">
        <v>186</v>
      </c>
      <c r="J16" s="82">
        <v>980000</v>
      </c>
      <c r="K16" s="11"/>
    </row>
    <row r="17" spans="1:11" ht="15.75" x14ac:dyDescent="0.25">
      <c r="A17" s="24"/>
      <c r="B17" s="37"/>
      <c r="C17" s="38"/>
      <c r="D17" s="38"/>
      <c r="E17" s="39"/>
      <c r="I17" s="81" t="s">
        <v>187</v>
      </c>
      <c r="J17" s="82">
        <v>1093300</v>
      </c>
      <c r="K17" s="11"/>
    </row>
    <row r="18" spans="1:11" ht="15.75" x14ac:dyDescent="0.25">
      <c r="A18" s="24"/>
      <c r="B18" s="37"/>
      <c r="C18" s="38"/>
      <c r="D18" s="38"/>
      <c r="I18" s="81"/>
      <c r="J18" s="82"/>
      <c r="K18" s="11"/>
    </row>
    <row r="19" spans="1:11" ht="15.75" x14ac:dyDescent="0.25">
      <c r="A19" s="28"/>
      <c r="B19" s="31" t="s">
        <v>13</v>
      </c>
      <c r="C19" s="35">
        <f>E9</f>
        <v>4718041.5199999996</v>
      </c>
      <c r="D19" s="30"/>
      <c r="E19" s="10"/>
      <c r="F19" s="48"/>
      <c r="I19" s="81"/>
      <c r="J19" s="82">
        <f>SUM(J16:J17)</f>
        <v>2073300</v>
      </c>
      <c r="K19" s="11"/>
    </row>
    <row r="20" spans="1:11" ht="15.75" x14ac:dyDescent="0.25">
      <c r="A20" s="28"/>
      <c r="B20" s="31" t="s">
        <v>6</v>
      </c>
      <c r="C20" s="16">
        <f>C16</f>
        <v>2193300</v>
      </c>
      <c r="D20" s="30"/>
      <c r="I20" s="81"/>
      <c r="J20" s="82">
        <v>-160000</v>
      </c>
      <c r="K20" s="11"/>
    </row>
    <row r="21" spans="1:11" ht="15.75" x14ac:dyDescent="0.25">
      <c r="A21" s="28"/>
      <c r="B21" s="15" t="s">
        <v>130</v>
      </c>
      <c r="C21" s="14">
        <v>0</v>
      </c>
      <c r="D21" s="30"/>
      <c r="J21" s="10">
        <f>SUM(J19:J20)</f>
        <v>1913300</v>
      </c>
      <c r="K21" s="11"/>
    </row>
    <row r="22" spans="1:11" ht="15.75" x14ac:dyDescent="0.25">
      <c r="A22" s="28"/>
      <c r="B22" s="26" t="s">
        <v>16</v>
      </c>
      <c r="C22" s="26">
        <f>C19+C20</f>
        <v>6911341.5199999996</v>
      </c>
      <c r="D22" s="30"/>
    </row>
    <row r="23" spans="1:11" ht="15.75" x14ac:dyDescent="0.25">
      <c r="A23" s="28"/>
      <c r="B23" s="42" t="s">
        <v>7</v>
      </c>
      <c r="C23" s="16">
        <f>+D16</f>
        <v>600000</v>
      </c>
      <c r="D23" s="30"/>
    </row>
    <row r="24" spans="1:11" ht="15.75" x14ac:dyDescent="0.25">
      <c r="B24" s="26" t="s">
        <v>17</v>
      </c>
      <c r="C24" s="26">
        <f>E16</f>
        <v>6311341.5199999996</v>
      </c>
    </row>
    <row r="25" spans="1:11" ht="21" x14ac:dyDescent="0.35">
      <c r="C25" s="45"/>
      <c r="H25" s="10"/>
    </row>
    <row r="26" spans="1:11" x14ac:dyDescent="0.25">
      <c r="E26" s="47"/>
    </row>
    <row r="27" spans="1:11" ht="21" x14ac:dyDescent="0.35">
      <c r="B27" s="13" t="s">
        <v>190</v>
      </c>
      <c r="C27" s="45"/>
    </row>
    <row r="28" spans="1:11" x14ac:dyDescent="0.25">
      <c r="B28" s="13" t="s">
        <v>19</v>
      </c>
    </row>
    <row r="29" spans="1:11" x14ac:dyDescent="0.25">
      <c r="B29" s="13"/>
    </row>
    <row r="30" spans="1:11" ht="21" x14ac:dyDescent="0.35">
      <c r="C30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pageSetup paperSize="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</vt:i4>
      </vt:variant>
    </vt:vector>
  </HeadingPairs>
  <TitlesOfParts>
    <vt:vector size="17" baseType="lpstr">
      <vt:lpstr>CORTE MAYO - 24</vt:lpstr>
      <vt:lpstr>CORTE JUNIO-4-24</vt:lpstr>
      <vt:lpstr>CORTE JULIO 4 -24</vt:lpstr>
      <vt:lpstr>CORTE AGOSTO 4 -24</vt:lpstr>
      <vt:lpstr>CORTE DICIEMBRE 20 -24</vt:lpstr>
      <vt:lpstr>CORTE FEBRERO 28-25</vt:lpstr>
      <vt:lpstr>CORTE MARZO 31-25</vt:lpstr>
      <vt:lpstr>CORTE ABRIL 30-25 </vt:lpstr>
      <vt:lpstr>CORTE MAYO 31-25</vt:lpstr>
      <vt:lpstr>CORTE JUNIO 30-25</vt:lpstr>
      <vt:lpstr>CORTE JULIO 31-25</vt:lpstr>
      <vt:lpstr>CORTE AGOSTO 31-25</vt:lpstr>
      <vt:lpstr>CORTE SEPTIEMBRE 11-25 </vt:lpstr>
      <vt:lpstr>CORTE OCTUBRE 15-25 </vt:lpstr>
      <vt:lpstr>'CORTE JULIO 4 -24'!Área_de_impresión</vt:lpstr>
      <vt:lpstr>'CORTE JUNIO-4-24'!Área_de_impresión</vt:lpstr>
      <vt:lpstr>'CORTE MAYO - 24'!Área_de_impresión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Ponce</dc:creator>
  <cp:keywords/>
  <dc:description/>
  <cp:lastModifiedBy>Daniel Andrey Villamizar Araque</cp:lastModifiedBy>
  <cp:revision/>
  <cp:lastPrinted>2025-10-22T04:06:26Z</cp:lastPrinted>
  <dcterms:created xsi:type="dcterms:W3CDTF">2024-06-05T23:33:21Z</dcterms:created>
  <dcterms:modified xsi:type="dcterms:W3CDTF">2025-10-24T15:55:26Z</dcterms:modified>
  <cp:category/>
  <cp:contentStatus/>
</cp:coreProperties>
</file>