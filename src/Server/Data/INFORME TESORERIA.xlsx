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DanielVillamizar\ContabilidadLAMAMedellin\src\Server\Data\"/>
    </mc:Choice>
  </mc:AlternateContent>
  <xr:revisionPtr revIDLastSave="0" documentId="13_ncr:1_{2030FF8A-E875-4E92-9F34-D91886AA1F14}" xr6:coauthVersionLast="47" xr6:coauthVersionMax="47" xr10:uidLastSave="{00000000-0000-0000-0000-000000000000}"/>
  <bookViews>
    <workbookView xWindow="13550" yWindow="-110" windowWidth="38620" windowHeight="21100" firstSheet="6" activeTab="10" xr2:uid="{00000000-000D-0000-FFFF-FFFF00000000}"/>
  </bookViews>
  <sheets>
    <sheet name="CORTE ENERO 20 -25" sheetId="7" r:id="rId1"/>
    <sheet name="CORTE FEBRERO 28-25" sheetId="8" r:id="rId2"/>
    <sheet name="CORTE MARZO 31-25" sheetId="10" r:id="rId3"/>
    <sheet name="CORTE ABRIL 30-25 " sheetId="11" r:id="rId4"/>
    <sheet name="CORTE MAYO 31-25" sheetId="12" r:id="rId5"/>
    <sheet name="CORTE JUNIO 30-25" sheetId="13" r:id="rId6"/>
    <sheet name="CORTE JULIO 31-25" sheetId="14" r:id="rId7"/>
    <sheet name="CORTE AGOSTO 31-25" sheetId="9" r:id="rId8"/>
    <sheet name="CORTE SEPTIEMBRE 11-25 " sheetId="17" r:id="rId9"/>
    <sheet name="CORTE OCTUBRE 15-25 " sheetId="16" r:id="rId10"/>
    <sheet name="CORTE NOVIEMBRE 30-25  " sheetId="18" r:id="rId1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6" i="18" l="1"/>
  <c r="C43" i="18" s="1"/>
  <c r="C36" i="18"/>
  <c r="C40" i="18" s="1"/>
  <c r="C25" i="16"/>
  <c r="C29" i="16" s="1"/>
  <c r="D25" i="16"/>
  <c r="C32" i="16" s="1"/>
  <c r="D16" i="17"/>
  <c r="C23" i="17" s="1"/>
  <c r="C16" i="17"/>
  <c r="C20" i="17" s="1"/>
  <c r="C10" i="14"/>
  <c r="D18" i="9"/>
  <c r="C25" i="9" s="1"/>
  <c r="C18" i="9"/>
  <c r="C22" i="9" s="1"/>
  <c r="D15" i="14"/>
  <c r="C22" i="14" s="1"/>
  <c r="C15" i="14"/>
  <c r="C19" i="14" s="1"/>
  <c r="E9" i="14"/>
  <c r="E10" i="14" s="1"/>
  <c r="E11" i="14" s="1"/>
  <c r="E12" i="14" s="1"/>
  <c r="E13" i="14" s="1"/>
  <c r="E14" i="14" s="1"/>
  <c r="E15" i="14" s="1"/>
  <c r="C40" i="12"/>
  <c r="D33" i="12"/>
  <c r="C37" i="12"/>
  <c r="C33" i="12"/>
  <c r="D33" i="13"/>
  <c r="C40" i="13" s="1"/>
  <c r="C33" i="13"/>
  <c r="C37" i="13" s="1"/>
  <c r="E9" i="11"/>
  <c r="C36" i="11" s="1"/>
  <c r="D33" i="11"/>
  <c r="C40" i="11" s="1"/>
  <c r="C33" i="11"/>
  <c r="C37" i="11" s="1"/>
  <c r="C40" i="10"/>
  <c r="C36" i="10"/>
  <c r="D33" i="10"/>
  <c r="C33" i="10"/>
  <c r="C37" i="10" s="1"/>
  <c r="E9" i="10"/>
  <c r="E10" i="10" s="1"/>
  <c r="E11" i="10" s="1"/>
  <c r="E12" i="10" s="1"/>
  <c r="E13" i="10" s="1"/>
  <c r="E14" i="10" s="1"/>
  <c r="E15" i="10" s="1"/>
  <c r="E16" i="10" s="1"/>
  <c r="E17" i="10" s="1"/>
  <c r="E18" i="10" s="1"/>
  <c r="E19" i="10" s="1"/>
  <c r="E20" i="10" s="1"/>
  <c r="E21" i="10" s="1"/>
  <c r="E22" i="10" s="1"/>
  <c r="E23" i="10" s="1"/>
  <c r="E24" i="10" s="1"/>
  <c r="E25" i="10" s="1"/>
  <c r="E26" i="10" s="1"/>
  <c r="E27" i="10" s="1"/>
  <c r="E28" i="10" s="1"/>
  <c r="E29" i="10" s="1"/>
  <c r="E30" i="10" s="1"/>
  <c r="E31" i="10" s="1"/>
  <c r="E32" i="10" s="1"/>
  <c r="E33" i="10" s="1"/>
  <c r="C41" i="10" s="1"/>
  <c r="E29" i="8"/>
  <c r="E30" i="8"/>
  <c r="E31" i="8"/>
  <c r="E32" i="8" s="1"/>
  <c r="E26" i="7"/>
  <c r="E27" i="7"/>
  <c r="E28" i="7" s="1"/>
  <c r="E29" i="7" s="1"/>
  <c r="E30" i="7" s="1"/>
  <c r="E31" i="7" s="1"/>
  <c r="E32" i="7" s="1"/>
  <c r="E33" i="7" s="1"/>
  <c r="E13" i="7"/>
  <c r="E14" i="7" s="1"/>
  <c r="E15" i="7" s="1"/>
  <c r="E16" i="7" s="1"/>
  <c r="E17" i="7" s="1"/>
  <c r="E18" i="7" s="1"/>
  <c r="E19" i="7" s="1"/>
  <c r="E20" i="7" s="1"/>
  <c r="E21" i="7" s="1"/>
  <c r="E22" i="7" s="1"/>
  <c r="E23" i="7" s="1"/>
  <c r="E24" i="7" s="1"/>
  <c r="E25" i="7" s="1"/>
  <c r="D33" i="8"/>
  <c r="E10" i="11" l="1"/>
  <c r="E11" i="11" s="1"/>
  <c r="E12" i="11" s="1"/>
  <c r="E13" i="11" s="1"/>
  <c r="E14" i="11" s="1"/>
  <c r="E15" i="11" s="1"/>
  <c r="E16" i="11" s="1"/>
  <c r="E17" i="11" s="1"/>
  <c r="E18" i="11" s="1"/>
  <c r="E19" i="11" s="1"/>
  <c r="E20" i="11" s="1"/>
  <c r="E21" i="11" s="1"/>
  <c r="E22" i="11" s="1"/>
  <c r="E23" i="11" s="1"/>
  <c r="E24" i="11" s="1"/>
  <c r="E25" i="11" s="1"/>
  <c r="E26" i="11" s="1"/>
  <c r="E27" i="11" s="1"/>
  <c r="E28" i="11" s="1"/>
  <c r="E29" i="11" s="1"/>
  <c r="E30" i="11" s="1"/>
  <c r="E31" i="11" s="1"/>
  <c r="E32" i="11" s="1"/>
  <c r="E33" i="11" s="1"/>
  <c r="C41" i="11" s="1"/>
  <c r="C39" i="11"/>
  <c r="C39" i="10"/>
  <c r="C37" i="7" l="1"/>
  <c r="C40" i="8"/>
  <c r="C33" i="8"/>
  <c r="C37" i="8" s="1"/>
  <c r="C34" i="7"/>
  <c r="C38" i="7" s="1"/>
  <c r="E10" i="7"/>
  <c r="E11" i="7" s="1"/>
  <c r="E12" i="7" s="1"/>
  <c r="E9" i="12" l="1"/>
  <c r="E10" i="12" s="1"/>
  <c r="E11" i="12" s="1"/>
  <c r="E12" i="12" s="1"/>
  <c r="C40" i="7"/>
  <c r="E34" i="7"/>
  <c r="C42" i="7" s="1"/>
  <c r="E9" i="8" s="1"/>
  <c r="E13" i="12" l="1"/>
  <c r="E14" i="12" s="1"/>
  <c r="E15" i="12" s="1"/>
  <c r="E16" i="12" s="1"/>
  <c r="E17" i="12" s="1"/>
  <c r="E18" i="12" s="1"/>
  <c r="E19" i="12" s="1"/>
  <c r="E20" i="12" s="1"/>
  <c r="E21" i="12" s="1"/>
  <c r="E22" i="12" s="1"/>
  <c r="E23" i="12" s="1"/>
  <c r="E24" i="12" s="1"/>
  <c r="E25" i="12" s="1"/>
  <c r="E26" i="12" s="1"/>
  <c r="E27" i="12" s="1"/>
  <c r="E28" i="12" s="1"/>
  <c r="E29" i="12" s="1"/>
  <c r="E30" i="12" s="1"/>
  <c r="E31" i="12" s="1"/>
  <c r="C36" i="12"/>
  <c r="C39" i="12" s="1"/>
  <c r="E10" i="8"/>
  <c r="E11" i="8" s="1"/>
  <c r="E12" i="8" s="1"/>
  <c r="E13" i="8" s="1"/>
  <c r="E14" i="8" s="1"/>
  <c r="E15" i="8" s="1"/>
  <c r="E16" i="8" s="1"/>
  <c r="E17" i="8" s="1"/>
  <c r="E18" i="8" s="1"/>
  <c r="E19" i="8" s="1"/>
  <c r="E20" i="8" s="1"/>
  <c r="E21" i="8" s="1"/>
  <c r="E22" i="8" s="1"/>
  <c r="E23" i="8" s="1"/>
  <c r="E24" i="8" s="1"/>
  <c r="E25" i="8" s="1"/>
  <c r="E26" i="8" s="1"/>
  <c r="E27" i="8" s="1"/>
  <c r="E28" i="8" s="1"/>
  <c r="E33" i="8" s="1"/>
  <c r="C41" i="8" s="1"/>
  <c r="C36" i="8"/>
  <c r="C39" i="8" s="1"/>
  <c r="E32" i="12" l="1"/>
  <c r="E33" i="12" l="1"/>
  <c r="C41" i="12" s="1"/>
  <c r="E9" i="13" s="1"/>
  <c r="E10" i="13" s="1"/>
  <c r="E11" i="13" s="1"/>
  <c r="E12" i="13" s="1"/>
  <c r="E13" i="13" s="1"/>
  <c r="E14" i="13" s="1"/>
  <c r="E15" i="13" s="1"/>
  <c r="E16" i="13" s="1"/>
  <c r="E17" i="13" s="1"/>
  <c r="E18" i="13" s="1"/>
  <c r="E19" i="13" s="1"/>
  <c r="E20" i="13" s="1"/>
  <c r="E21" i="13" s="1"/>
  <c r="E22" i="13" s="1"/>
  <c r="E23" i="13" s="1"/>
  <c r="E24" i="13" s="1"/>
  <c r="E25" i="13" s="1"/>
  <c r="E26" i="13" s="1"/>
  <c r="E27" i="13" s="1"/>
  <c r="E28" i="13" s="1"/>
  <c r="E29" i="13" s="1"/>
  <c r="E30" i="13" s="1"/>
  <c r="E31" i="13" s="1"/>
  <c r="E32" i="13" s="1"/>
  <c r="E33" i="13" s="1"/>
  <c r="C41" i="13" s="1"/>
  <c r="C36" i="13" l="1"/>
  <c r="C39" i="13" s="1"/>
  <c r="C18" i="14"/>
  <c r="C21" i="14" s="1"/>
  <c r="C23" i="14" l="1"/>
  <c r="E9" i="9" s="1"/>
  <c r="E10" i="9" s="1"/>
  <c r="E11" i="9" s="1"/>
  <c r="E12" i="9" s="1"/>
  <c r="E13" i="9" s="1"/>
  <c r="E14" i="9" s="1"/>
  <c r="E15" i="9" s="1"/>
  <c r="E16" i="9" s="1"/>
  <c r="E17" i="9" s="1"/>
  <c r="E18" i="9" s="1"/>
  <c r="C21" i="9" l="1"/>
  <c r="C24" i="9" s="1"/>
  <c r="C41" i="7"/>
  <c r="C26" i="9" l="1"/>
  <c r="E9" i="17" s="1"/>
  <c r="E10" i="17" l="1"/>
  <c r="E11" i="17" s="1"/>
  <c r="E12" i="17" s="1"/>
  <c r="E13" i="17" s="1"/>
  <c r="E14" i="17" s="1"/>
  <c r="E15" i="17" s="1"/>
  <c r="E16" i="17" s="1"/>
  <c r="C24" i="17" s="1"/>
  <c r="E9" i="16" s="1"/>
  <c r="E10" i="16" s="1"/>
  <c r="E11" i="16" s="1"/>
  <c r="E12" i="16" s="1"/>
  <c r="E13" i="16" s="1"/>
  <c r="E14" i="16" s="1"/>
  <c r="E15" i="16" s="1"/>
  <c r="E16" i="16" s="1"/>
  <c r="E17" i="16" s="1"/>
  <c r="E18" i="16" s="1"/>
  <c r="E19" i="16" s="1"/>
  <c r="E20" i="16" s="1"/>
  <c r="E21" i="16" s="1"/>
  <c r="E22" i="16" s="1"/>
  <c r="E23" i="16" s="1"/>
  <c r="E24" i="16" s="1"/>
  <c r="E25" i="16" s="1"/>
  <c r="C33" i="16" s="1"/>
  <c r="E9" i="18" s="1"/>
  <c r="C19" i="17"/>
  <c r="C22" i="17" s="1"/>
  <c r="C28" i="16"/>
  <c r="C31" i="16" s="1"/>
  <c r="E10" i="18" l="1"/>
  <c r="E11" i="18" s="1"/>
  <c r="E12" i="18" s="1"/>
  <c r="E13" i="18" s="1"/>
  <c r="E14" i="18" s="1"/>
  <c r="E15" i="18" s="1"/>
  <c r="E16" i="18" s="1"/>
  <c r="E17" i="18" s="1"/>
  <c r="E18" i="18" s="1"/>
  <c r="E19" i="18" s="1"/>
  <c r="E20" i="18" s="1"/>
  <c r="E21" i="18" s="1"/>
  <c r="E22" i="18" s="1"/>
  <c r="E23" i="18" s="1"/>
  <c r="E24" i="18" s="1"/>
  <c r="E25" i="18" s="1"/>
  <c r="E26" i="18" s="1"/>
  <c r="E27" i="18" s="1"/>
  <c r="E28" i="18" s="1"/>
  <c r="E29" i="18" s="1"/>
  <c r="E30" i="18" s="1"/>
  <c r="E31" i="18" s="1"/>
  <c r="E32" i="18" s="1"/>
  <c r="E33" i="18" s="1"/>
  <c r="E34" i="18" s="1"/>
  <c r="E35" i="18" s="1"/>
  <c r="C39" i="18"/>
  <c r="C42" i="18" s="1"/>
  <c r="E36" i="18" l="1"/>
  <c r="C44" i="18" s="1"/>
</calcChain>
</file>

<file path=xl/sharedStrings.xml><?xml version="1.0" encoding="utf-8"?>
<sst xmlns="http://schemas.openxmlformats.org/spreadsheetml/2006/main" count="361" uniqueCount="154">
  <si>
    <t>LATIN AMERICAN MOTORCYCLE ASSOCIATION</t>
  </si>
  <si>
    <t>CAPITULO LAMA MEDELLIN</t>
  </si>
  <si>
    <t>"¡HERMAN@S PARA HACER HERMAN@S!"</t>
  </si>
  <si>
    <t>FECHA</t>
  </si>
  <si>
    <t>CONCEPTO</t>
  </si>
  <si>
    <t xml:space="preserve">INGRESOS </t>
  </si>
  <si>
    <t xml:space="preserve">EGRESOS </t>
  </si>
  <si>
    <t xml:space="preserve">SALDO </t>
  </si>
  <si>
    <t xml:space="preserve">TOTAL </t>
  </si>
  <si>
    <t>SALDO EFECTIVO MES ANTERIOR</t>
  </si>
  <si>
    <t>Dólares</t>
  </si>
  <si>
    <t>TOTAL INGRESOS</t>
  </si>
  <si>
    <t>SALDO EN TESORERIA A LA FECHA</t>
  </si>
  <si>
    <t>MARIO ALBERTO JIMENEZ PARRA</t>
  </si>
  <si>
    <t>TESORERO LAMA MEDELLIN</t>
  </si>
  <si>
    <t>INFORME DE TESORERIA - CORTE DIC 31 / 2024</t>
  </si>
  <si>
    <t>PAGO MENSUALIDAD MARIO JIMENEZ</t>
  </si>
  <si>
    <t xml:space="preserve">SILLAS Y MESAS TRANSPORTES GASTOS  PARA ANIVERSARIO </t>
  </si>
  <si>
    <t>COMPRA DE PARCHES INTERNACIONALES</t>
  </si>
  <si>
    <t xml:space="preserve">PAGO  TRASNPORTADORA  POR ENVIO PARCHES </t>
  </si>
  <si>
    <t>PAGO PARCHES MOVIE ARZUZA</t>
  </si>
  <si>
    <t>PAGO DE MENSUALIDAD ANGELA</t>
  </si>
  <si>
    <t>PAGO MENSUALIDAD MOVIE</t>
  </si>
  <si>
    <t>COMPRA 5 RECORDATORIOS   3 ARGENTINA 1 BUGA 1 PEREIRA</t>
  </si>
  <si>
    <t>PAGO HECTOR MENSUALIDAD  E INSCRPCION 2025</t>
  </si>
  <si>
    <t xml:space="preserve">PAGO ANGELA PARCHES  </t>
  </si>
  <si>
    <t>MENSUALIDAD CAMILO ORTEGON</t>
  </si>
  <si>
    <t>MENSUALIDAD CARLOS ANDRES PERES</t>
  </si>
  <si>
    <t xml:space="preserve">FIESTA FIN DE AÑO </t>
  </si>
  <si>
    <t>PAGO MENSUALIDAD EDINSON OSPINA</t>
  </si>
  <si>
    <t xml:space="preserve">PAGO MENSUALIDAD JHON HARVEY </t>
  </si>
  <si>
    <t>PAGO MENSUALIDAD CARLOS MARIO CEBALLOS</t>
  </si>
  <si>
    <t>PAGO A RAMON USO DE SALON  ASAMBLEA DE ENERO</t>
  </si>
  <si>
    <t>PAGO MENSUALIDAD CESAR RODRIGUEZ</t>
  </si>
  <si>
    <t>PAGO MENSUALIDAD ROBINSON GALVIS</t>
  </si>
  <si>
    <t>PAGO MENSUALIDAD JUAN ESTEBAN SUAREZ</t>
  </si>
  <si>
    <t>PAGO MENSUALIDAD E INSCRIPCION  GIRLESA  BUITRAGO</t>
  </si>
  <si>
    <t>PAGO MEMBRESIA RAMON GONZALES</t>
  </si>
  <si>
    <t xml:space="preserve">PAGO MENSUALIDAD  ENERO 2025 Y MEMBRESIA DANIEL </t>
  </si>
  <si>
    <t>RECAUDO CUOTA DE FIESTA   FIN DE AÑO</t>
  </si>
  <si>
    <t>INFORME DE TESORERIA - CORTE  FEB 28 / 2025</t>
  </si>
  <si>
    <t>PAGO MEMBRESIA  ESPOSA DE DANIEL VILLAMIZAR</t>
  </si>
  <si>
    <t>PAGO MENSUALIDAD  FEB- DIC  DANIEL  VILLAMIZAR</t>
  </si>
  <si>
    <t xml:space="preserve">PAGO MEMBRESIA JHON ARZUZA </t>
  </si>
  <si>
    <t>PAGO MEMBRESIA  CARLOS JULIO MOVIE</t>
  </si>
  <si>
    <t>PAGO  MEMBRESIA Y MENSUAIDAD ENERO  ANGELA MARIA</t>
  </si>
  <si>
    <t xml:space="preserve"> PAGO MEMBRESIA  MARIO JIMENEZ</t>
  </si>
  <si>
    <t>PAGO MEMBRESIA JHON DAVID SANCHEZ TIIN</t>
  </si>
  <si>
    <t>PAGO MEMBRESIA JHON JARVEY</t>
  </si>
  <si>
    <t>PAGO MEMBRESIA CAMILO ORTEGON</t>
  </si>
  <si>
    <t>PAGO MEMBRESIA YEFERSON USUGA</t>
  </si>
  <si>
    <t>PAGO  MEMBRESIA JEFERSON MONTOYA</t>
  </si>
  <si>
    <t xml:space="preserve">PAGO MENSUALIDAD ENERO GIRLESA </t>
  </si>
  <si>
    <t>PAGO  MEMBRESIA Y MENSUALIDAD ENE- DIC  CARLOS ARAQUE</t>
  </si>
  <si>
    <t>PAGO  MEMBRESIA Y MENSUALIDAD ENE- JUNIO   CAPA</t>
  </si>
  <si>
    <t>PAGO MEMBRESIA JOSE EDINSON  OSPINA</t>
  </si>
  <si>
    <t>PAGO MEMBRESIA    ROBINSON GALVEZ</t>
  </si>
  <si>
    <t xml:space="preserve">COMPRA MUESTRA RECONOCIMIENTO </t>
  </si>
  <si>
    <t>COMPRA DE MEMBRESIAS</t>
  </si>
  <si>
    <t>PAGO TRASNPORTADORA MEMBRESIAS</t>
  </si>
  <si>
    <t>PAGO ALQUILER DE FINCA FIESTA FIN DE AÑO</t>
  </si>
  <si>
    <t>COMPRA 5 RECORDATORIOS</t>
  </si>
  <si>
    <t>PAGO DE PARCHES DANIEL VILLAMIZAR</t>
  </si>
  <si>
    <t>PAGO MENSUALIDAD FEBRERO ANGELA</t>
  </si>
  <si>
    <t>dolares</t>
  </si>
  <si>
    <t>INFORME DE TESORERIA - CORTE  MAR  31 / 2025</t>
  </si>
  <si>
    <t>INFORME DE TESORERIA - CORTE  ABR 30 / 2025</t>
  </si>
  <si>
    <t>PAGO DE PARCHES JHON DAVID SANCHEZ</t>
  </si>
  <si>
    <t>PAGO MEMBRESI CARLOS DIAZ Y LINDA ZULETA</t>
  </si>
  <si>
    <t>PAGO MEMBRESIA MILTON GOMEZ</t>
  </si>
  <si>
    <t>PAGO MEMBRESIA WILLIAM JIMENEZ</t>
  </si>
  <si>
    <t>PAGO MEMBRESIA NATALIA GOMEZ</t>
  </si>
  <si>
    <r>
      <t xml:space="preserve">COMPRA DE </t>
    </r>
    <r>
      <rPr>
        <b/>
        <sz val="11"/>
        <color rgb="FF000000"/>
        <rFont val="Calibri"/>
        <family val="2"/>
        <scheme val="minor"/>
      </rPr>
      <t>5 * 20</t>
    </r>
    <r>
      <rPr>
        <sz val="11"/>
        <color rgb="FF000000"/>
        <rFont val="Calibri"/>
        <family val="2"/>
        <scheme val="minor"/>
      </rPr>
      <t xml:space="preserve"> </t>
    </r>
    <r>
      <rPr>
        <b/>
        <sz val="11"/>
        <color rgb="FF000000"/>
        <rFont val="Calibri"/>
        <family val="2"/>
        <scheme val="minor"/>
      </rPr>
      <t xml:space="preserve">USD </t>
    </r>
    <r>
      <rPr>
        <sz val="11"/>
        <color rgb="FF000000"/>
        <rFont val="Calibri"/>
        <family val="2"/>
        <scheme val="minor"/>
      </rPr>
      <t xml:space="preserve">MEMBRESIAS </t>
    </r>
    <r>
      <rPr>
        <b/>
        <sz val="11"/>
        <color rgb="FF000000"/>
        <rFont val="Calibri"/>
        <family val="2"/>
        <scheme val="minor"/>
      </rPr>
      <t>TRM 4.387,98</t>
    </r>
  </si>
  <si>
    <r>
      <t xml:space="preserve">COMPRA PARCHES </t>
    </r>
    <r>
      <rPr>
        <b/>
        <sz val="11"/>
        <color theme="1"/>
        <rFont val="Calibri"/>
        <family val="2"/>
        <scheme val="minor"/>
      </rPr>
      <t>176 USD</t>
    </r>
    <r>
      <rPr>
        <sz val="11"/>
        <color theme="1"/>
        <rFont val="Calibri"/>
        <family val="2"/>
        <scheme val="minor"/>
      </rPr>
      <t xml:space="preserve"> (1 COLOMBIA ASSOCIATE APPLICATION FEE + 2 2025 INTERNATIONAL SPOUSAL MEMBERSHIP RENEWAL + 1 FIRST YEAR INTERNATIONAL PATCHES + 1 COLOMBIA COUNTRY WING + 1 COLOMBIA COUTRY PATCH + 1 CHAPTER CITY PATCH + 1 COLOMBIA STATE PATCH + 1 COLOMBIA COUNTRY FLAG + 3 DAMA PATCH </t>
    </r>
    <r>
      <rPr>
        <b/>
        <sz val="11"/>
        <color theme="1"/>
        <rFont val="Calibri"/>
        <family val="2"/>
        <scheme val="minor"/>
      </rPr>
      <t>TRM 4.387,98</t>
    </r>
    <r>
      <rPr>
        <sz val="11"/>
        <color theme="1"/>
        <rFont val="Calibri"/>
        <family val="2"/>
        <scheme val="minor"/>
      </rPr>
      <t>)</t>
    </r>
  </si>
  <si>
    <t>PAGO MEMBRESIA JENSY</t>
  </si>
  <si>
    <r>
      <t xml:space="preserve">VENTA 165 DOLARES 25/03 A </t>
    </r>
    <r>
      <rPr>
        <b/>
        <sz val="11"/>
        <color rgb="FF000000"/>
        <rFont val="Calibri"/>
        <family val="2"/>
        <scheme val="minor"/>
      </rPr>
      <t>3,970</t>
    </r>
  </si>
  <si>
    <t>DANIEL VILLAMIZAR ARAQUE</t>
  </si>
  <si>
    <t>TESORERO ADHOC LAMA MEDELLIN</t>
  </si>
  <si>
    <t>VENTA 8 CAMISETAS</t>
  </si>
  <si>
    <t>VENTA 1 BUFF</t>
  </si>
  <si>
    <t>PAGO TRANSPORTADORA INTERRAPIDISIMO</t>
  </si>
  <si>
    <t xml:space="preserve">  </t>
  </si>
  <si>
    <t>INFORME DE TESORERIA - CORTE  MAY 31 / 2025</t>
  </si>
  <si>
    <t>1 AUXILIO DAMAS LAMA ANGELA RODRIGUEZ</t>
  </si>
  <si>
    <t>COMPRA TORTA CUMPLEAÑOS TRIMESTRE</t>
  </si>
  <si>
    <t>ANGELA MARIA RODRIGUEZ</t>
  </si>
  <si>
    <t>PAGO DE PARCHES (ALAS + COL + MED 35 USD) ANGELA MARIA RODRIGUEZ</t>
  </si>
  <si>
    <t>PAGO DE PARCHES (ROCKETS + DAMA) ANGELA MARIA RODRIGUEZ</t>
  </si>
  <si>
    <t>VENTA 1 CAMISETA JULIÁN</t>
  </si>
  <si>
    <t>INFORME DE TESORERIA - CORTE  JUN 30 / 2025</t>
  </si>
  <si>
    <t>INFORME DE TESORERIA - CORTE  JUL 31 / 2025</t>
  </si>
  <si>
    <t>(</t>
  </si>
  <si>
    <t>PAGO TRANSPORTADORA INTERRAPIDISIMO 4 Parches MEMBRESIA</t>
  </si>
  <si>
    <t>Pago - Recordatorio Parches</t>
  </si>
  <si>
    <t>Abono Banquete</t>
  </si>
  <si>
    <t>Abono Jersy's</t>
  </si>
  <si>
    <t>Inscripciones Pagas - Julio</t>
  </si>
  <si>
    <t>Abono Banquete #2</t>
  </si>
  <si>
    <t xml:space="preserve">Reconocimientos Visitantes </t>
  </si>
  <si>
    <t>Reintegro Pagos - Efectivo</t>
  </si>
  <si>
    <t>Cancelación Total Banquete</t>
  </si>
  <si>
    <t>Pago Veracruz Estéreo</t>
  </si>
  <si>
    <t>Inscripciones Efectivo - Agosto 4</t>
  </si>
  <si>
    <t>Devolución Jersey's</t>
  </si>
  <si>
    <t>Inscripciones Pagas, Jersey's, Donaciones - Agosto</t>
  </si>
  <si>
    <t>Mensualidad E Inscripción Cesar</t>
  </si>
  <si>
    <t>Mensualidad Angela Maria</t>
  </si>
  <si>
    <t>Venta Parches LAMA</t>
  </si>
  <si>
    <t>Venta Jersey's LAMA</t>
  </si>
  <si>
    <t>Consignaciones - Inscripciones</t>
  </si>
  <si>
    <t>Intereses corrientes - Cuenta Ahorros</t>
  </si>
  <si>
    <t>VENTA 02 CAMISETAS LM</t>
  </si>
  <si>
    <t>VENTA 30 JERSEY POR 50.000 ANIVERSARIO EN RALLY SUDAMERICANO</t>
  </si>
  <si>
    <t>VENTA 02 BALACLAVAS</t>
  </si>
  <si>
    <t>PAGO PARCHES APOYO CUBA</t>
  </si>
  <si>
    <t>VENTA 02 CAMISETAS LM ROBINSON</t>
  </si>
  <si>
    <t>COMPRA DE 2 POLLOS FRISBY</t>
  </si>
  <si>
    <t>COMPRA DE GASEOSAS</t>
  </si>
  <si>
    <t>SANCOCHO DONDE MILTON</t>
  </si>
  <si>
    <t>REVUELTO</t>
  </si>
  <si>
    <t>ARREGLO FLORAL MADRE DE MARIA PAEZ</t>
  </si>
  <si>
    <t>PAGO INSCRIPCION CAMARA Y COMERCIO</t>
  </si>
  <si>
    <t>VENTA 04 BALACLAVAS</t>
  </si>
  <si>
    <t xml:space="preserve">VENTA 9 JERSEY POR 50.000 ANIVERSARIO </t>
  </si>
  <si>
    <t>PAGO ANUALIDAD CARLOS DIAZ</t>
  </si>
  <si>
    <t>PAGO 06 MENSUALIDADES DANIEL VILLAMIZAR</t>
  </si>
  <si>
    <t>PAGO 06 MENSUALIDADES LAURA SALAZAR</t>
  </si>
  <si>
    <t>SUBSIDIO ANIVERSARIOS CALI  (J ARZUZA, EDINSON OSPINA)</t>
  </si>
  <si>
    <t>PAGO ANUALIDAD JENNIFER CARDONA</t>
  </si>
  <si>
    <t>SUBSIDIO ANIVERSARIOS PEREIRA (ARZUZA, WILLIAM, GUSTAVO , MILTON, CORONEL)</t>
  </si>
  <si>
    <t>APORTE  SIMBOLICO SANCOCHO ASAMBLEA OCTUBRE</t>
  </si>
  <si>
    <t>PAGO MEMBRESIA ASOCIADO ARLEX</t>
  </si>
  <si>
    <t>TRANSPORTE PARCHES</t>
  </si>
  <si>
    <t>PAGO PARCHE ASOCIADO A INTERNACIONAL</t>
  </si>
  <si>
    <t>PAGO ANUALIDAD ROBINSON</t>
  </si>
  <si>
    <t>PAGO ANUALIDAD HECTOR</t>
  </si>
  <si>
    <t>SUBSIDIO ANIVERSARIO PEREIRA (HECTOR)</t>
  </si>
  <si>
    <t>SUBSIDIO ANIVERSARIO CALI (CARLOS J RENDON)</t>
  </si>
  <si>
    <t>ABONO ANUALIDAD CARLOS J RENDON</t>
  </si>
  <si>
    <t>GASTOS APERTURA CUENTA</t>
  </si>
  <si>
    <t>COMPRA PARCHES INTERNACIONAL</t>
  </si>
  <si>
    <t>GASTOS SANCOCHO ASAMBLEA OCTUBRE</t>
  </si>
  <si>
    <t>GASEOSAS Y CERVEZAS</t>
  </si>
  <si>
    <t>PAGO MENSUALIDAD CARLOS PEREZ</t>
  </si>
  <si>
    <t>ROBINSON ALEJANDRO GALVIS PARRA</t>
  </si>
  <si>
    <t>PAGO ANUALIDAD HARVEY</t>
  </si>
  <si>
    <t>PAGO MENSUALIDAD Y PARCHES ANGELA</t>
  </si>
  <si>
    <t>SUBSIDIO ANIVERSARIO FLORIDABLANCA (JEFERSON, RAMON Y ANGELA)</t>
  </si>
  <si>
    <t>PAGO MENSUALIDADES A NOVIEMBRE  JULIAN VILLAMIZAR</t>
  </si>
  <si>
    <t>PAGO RENOVACION MEMBRESIA CARLOS PEREZ Y NATALIA</t>
  </si>
  <si>
    <t>INFORME DE TESORERIA - CORTE AGOSTO 31 / 2025</t>
  </si>
  <si>
    <t>INFORME DE TESORERIA - CORTE  SEPTIEMBRE 11 / 2025</t>
  </si>
  <si>
    <t>INFORME DE TESORERIA - CORTE  OCTUBRE 31 / 2025</t>
  </si>
  <si>
    <t>INFORME DE TESORERIA - CORTE  NOVIEMBRE 30 /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</si>
</sst>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$&quot;\ * #,##0_-;\-&quot;$&quot;\ * #,##0_-;_-&quot;$&quot;\ * &quot;-&quot;_-;_-@_-"/>
    <numFmt numFmtId="165" formatCode="_-* #,##0_-;\-* #,##0_-;_-* &quot;-&quot;_-;_-@_-"/>
    <numFmt numFmtId="166" formatCode="[$$-240A]#,##0"/>
  </numFmts>
  <fonts count="22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sz val="11"/>
      <color rgb="FF000000"/>
      <name val="Arial"/>
      <family val="2"/>
    </font>
    <font>
      <b/>
      <sz val="11"/>
      <color rgb="FF000000"/>
      <name val="Arial"/>
      <family val="2"/>
    </font>
    <font>
      <b/>
      <sz val="14"/>
      <color rgb="FF000000"/>
      <name val="Arial"/>
      <family val="2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DA969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3300"/>
        <bgColor rgb="FF000000"/>
      </patternFill>
    </fill>
    <fill>
      <patternFill patternType="solid">
        <fgColor theme="5" tint="0.59999389629810485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5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3">
    <xf numFmtId="0" fontId="0" fillId="0" borderId="0"/>
    <xf numFmtId="165" fontId="3" fillId="0" borderId="0" applyFont="0" applyFill="0" applyBorder="0" applyAlignment="0" applyProtection="0"/>
    <xf numFmtId="164" fontId="3" fillId="0" borderId="0" applyFont="0" applyFill="0" applyBorder="0" applyAlignment="0" applyProtection="0"/>
  </cellStyleXfs>
  <cellXfs count="101">
    <xf numFmtId="0" fontId="0" fillId="0" borderId="0" xfId="0"/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0" fillId="3" borderId="4" xfId="0" applyFill="1" applyBorder="1"/>
    <xf numFmtId="0" fontId="0" fillId="3" borderId="7" xfId="0" applyFill="1" applyBorder="1"/>
    <xf numFmtId="0" fontId="9" fillId="0" borderId="0" xfId="0" applyFont="1"/>
    <xf numFmtId="0" fontId="4" fillId="0" borderId="13" xfId="0" applyFont="1" applyBorder="1"/>
    <xf numFmtId="164" fontId="0" fillId="0" borderId="13" xfId="2" applyFont="1" applyBorder="1"/>
    <xf numFmtId="164" fontId="0" fillId="0" borderId="13" xfId="2" applyFont="1" applyFill="1" applyBorder="1" applyAlignment="1"/>
    <xf numFmtId="164" fontId="0" fillId="0" borderId="0" xfId="0" applyNumberFormat="1"/>
    <xf numFmtId="0" fontId="10" fillId="0" borderId="0" xfId="0" applyFont="1"/>
    <xf numFmtId="0" fontId="12" fillId="0" borderId="0" xfId="0" applyFont="1"/>
    <xf numFmtId="164" fontId="11" fillId="0" borderId="13" xfId="2" applyFont="1" applyBorder="1" applyAlignment="1">
      <alignment horizontal="right"/>
    </xf>
    <xf numFmtId="0" fontId="11" fillId="0" borderId="13" xfId="0" quotePrefix="1" applyFont="1" applyBorder="1" applyAlignment="1">
      <alignment horizontal="right"/>
    </xf>
    <xf numFmtId="164" fontId="11" fillId="0" borderId="13" xfId="2" applyFont="1" applyFill="1" applyBorder="1" applyAlignment="1">
      <alignment horizontal="center"/>
    </xf>
    <xf numFmtId="0" fontId="0" fillId="0" borderId="13" xfId="0" applyBorder="1"/>
    <xf numFmtId="0" fontId="13" fillId="4" borderId="13" xfId="0" applyFont="1" applyFill="1" applyBorder="1" applyAlignment="1">
      <alignment horizontal="center" vertical="center"/>
    </xf>
    <xf numFmtId="0" fontId="14" fillId="5" borderId="13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14" fontId="15" fillId="0" borderId="14" xfId="0" applyNumberFormat="1" applyFont="1" applyBorder="1" applyAlignment="1">
      <alignment horizontal="center" vertical="center"/>
    </xf>
    <xf numFmtId="0" fontId="16" fillId="0" borderId="0" xfId="0" applyFont="1" applyAlignment="1">
      <alignment vertical="center"/>
    </xf>
    <xf numFmtId="0" fontId="17" fillId="7" borderId="13" xfId="0" applyFont="1" applyFill="1" applyBorder="1" applyAlignment="1">
      <alignment horizontal="center" vertical="center" wrapText="1"/>
    </xf>
    <xf numFmtId="164" fontId="17" fillId="7" borderId="13" xfId="2" applyFont="1" applyFill="1" applyBorder="1" applyAlignment="1">
      <alignment horizontal="center" vertical="center" wrapText="1"/>
    </xf>
    <xf numFmtId="0" fontId="15" fillId="0" borderId="0" xfId="0" applyFont="1" applyAlignment="1">
      <alignment vertical="center"/>
    </xf>
    <xf numFmtId="166" fontId="13" fillId="0" borderId="0" xfId="0" applyNumberFormat="1" applyFont="1" applyAlignment="1">
      <alignment vertical="center"/>
    </xf>
    <xf numFmtId="0" fontId="13" fillId="0" borderId="13" xfId="0" applyFont="1" applyBorder="1" applyAlignment="1">
      <alignment horizontal="right" vertical="center"/>
    </xf>
    <xf numFmtId="0" fontId="14" fillId="7" borderId="13" xfId="0" applyFont="1" applyFill="1" applyBorder="1" applyAlignment="1">
      <alignment horizontal="center" vertical="center" wrapText="1"/>
    </xf>
    <xf numFmtId="165" fontId="17" fillId="7" borderId="13" xfId="1" applyFont="1" applyFill="1" applyBorder="1" applyAlignment="1">
      <alignment horizontal="center" vertical="center" wrapText="1"/>
    </xf>
    <xf numFmtId="164" fontId="13" fillId="0" borderId="13" xfId="2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 wrapText="1"/>
    </xf>
    <xf numFmtId="164" fontId="17" fillId="0" borderId="0" xfId="2" applyFont="1" applyFill="1" applyBorder="1" applyAlignment="1">
      <alignment horizontal="center" vertical="center" wrapText="1"/>
    </xf>
    <xf numFmtId="165" fontId="17" fillId="0" borderId="0" xfId="1" applyFont="1" applyFill="1" applyBorder="1" applyAlignment="1">
      <alignment horizontal="center" vertical="center" wrapText="1"/>
    </xf>
    <xf numFmtId="0" fontId="15" fillId="0" borderId="13" xfId="0" applyFont="1" applyBorder="1"/>
    <xf numFmtId="0" fontId="0" fillId="0" borderId="13" xfId="0" applyBorder="1" applyAlignment="1">
      <alignment horizontal="left"/>
    </xf>
    <xf numFmtId="0" fontId="17" fillId="0" borderId="13" xfId="0" applyFont="1" applyBorder="1" applyAlignment="1">
      <alignment horizontal="center" vertical="center"/>
    </xf>
    <xf numFmtId="0" fontId="0" fillId="3" borderId="15" xfId="0" applyFill="1" applyBorder="1"/>
    <xf numFmtId="0" fontId="2" fillId="0" borderId="0" xfId="0" applyFont="1"/>
    <xf numFmtId="0" fontId="18" fillId="0" borderId="0" xfId="0" applyFont="1"/>
    <xf numFmtId="164" fontId="0" fillId="0" borderId="13" xfId="2" applyFont="1" applyFill="1" applyBorder="1"/>
    <xf numFmtId="165" fontId="0" fillId="0" borderId="0" xfId="0" applyNumberFormat="1"/>
    <xf numFmtId="0" fontId="4" fillId="0" borderId="0" xfId="0" applyFont="1"/>
    <xf numFmtId="164" fontId="0" fillId="3" borderId="13" xfId="2" applyFont="1" applyFill="1" applyBorder="1"/>
    <xf numFmtId="0" fontId="0" fillId="3" borderId="13" xfId="0" applyFill="1" applyBorder="1"/>
    <xf numFmtId="0" fontId="15" fillId="3" borderId="13" xfId="0" applyFont="1" applyFill="1" applyBorder="1"/>
    <xf numFmtId="0" fontId="0" fillId="3" borderId="13" xfId="0" applyFill="1" applyBorder="1" applyAlignment="1">
      <alignment horizontal="left"/>
    </xf>
    <xf numFmtId="164" fontId="2" fillId="0" borderId="0" xfId="0" applyNumberFormat="1" applyFont="1"/>
    <xf numFmtId="3" fontId="2" fillId="0" borderId="0" xfId="0" applyNumberFormat="1" applyFont="1"/>
    <xf numFmtId="0" fontId="0" fillId="8" borderId="13" xfId="0" applyFill="1" applyBorder="1" applyAlignment="1">
      <alignment horizontal="left"/>
    </xf>
    <xf numFmtId="0" fontId="15" fillId="8" borderId="13" xfId="0" applyFont="1" applyFill="1" applyBorder="1"/>
    <xf numFmtId="0" fontId="0" fillId="8" borderId="13" xfId="0" applyFill="1" applyBorder="1"/>
    <xf numFmtId="164" fontId="0" fillId="8" borderId="13" xfId="2" applyFont="1" applyFill="1" applyBorder="1"/>
    <xf numFmtId="164" fontId="0" fillId="3" borderId="0" xfId="0" applyNumberFormat="1" applyFill="1"/>
    <xf numFmtId="164" fontId="0" fillId="8" borderId="13" xfId="2" applyFont="1" applyFill="1" applyBorder="1" applyAlignment="1"/>
    <xf numFmtId="0" fontId="19" fillId="0" borderId="0" xfId="0" applyFont="1"/>
    <xf numFmtId="3" fontId="0" fillId="9" borderId="0" xfId="0" applyNumberFormat="1" applyFill="1"/>
    <xf numFmtId="164" fontId="0" fillId="10" borderId="0" xfId="0" applyNumberFormat="1" applyFill="1"/>
    <xf numFmtId="0" fontId="0" fillId="3" borderId="0" xfId="0" applyFill="1"/>
    <xf numFmtId="0" fontId="11" fillId="0" borderId="0" xfId="0" applyFont="1"/>
    <xf numFmtId="164" fontId="0" fillId="8" borderId="16" xfId="2" applyFont="1" applyFill="1" applyBorder="1"/>
    <xf numFmtId="164" fontId="0" fillId="0" borderId="16" xfId="2" applyFont="1" applyBorder="1"/>
    <xf numFmtId="164" fontId="0" fillId="0" borderId="16" xfId="2" applyFont="1" applyFill="1" applyBorder="1"/>
    <xf numFmtId="14" fontId="15" fillId="0" borderId="17" xfId="0" applyNumberFormat="1" applyFont="1" applyBorder="1" applyAlignment="1">
      <alignment horizontal="center" vertical="center"/>
    </xf>
    <xf numFmtId="0" fontId="0" fillId="8" borderId="4" xfId="0" applyFill="1" applyBorder="1"/>
    <xf numFmtId="14" fontId="15" fillId="0" borderId="18" xfId="0" applyNumberFormat="1" applyFont="1" applyBorder="1" applyAlignment="1">
      <alignment horizontal="center" vertical="center"/>
    </xf>
    <xf numFmtId="0" fontId="0" fillId="8" borderId="15" xfId="0" applyFill="1" applyBorder="1"/>
    <xf numFmtId="14" fontId="15" fillId="0" borderId="13" xfId="0" applyNumberFormat="1" applyFont="1" applyBorder="1" applyAlignment="1">
      <alignment horizontal="center" vertical="center"/>
    </xf>
    <xf numFmtId="0" fontId="10" fillId="0" borderId="13" xfId="0" applyFont="1" applyBorder="1"/>
    <xf numFmtId="0" fontId="1" fillId="0" borderId="0" xfId="0" applyFont="1"/>
    <xf numFmtId="164" fontId="2" fillId="0" borderId="0" xfId="2" applyFont="1"/>
    <xf numFmtId="164" fontId="0" fillId="0" borderId="0" xfId="2" applyFont="1"/>
    <xf numFmtId="0" fontId="4" fillId="0" borderId="13" xfId="0" applyFont="1" applyBorder="1" applyAlignment="1">
      <alignment horizontal="left"/>
    </xf>
    <xf numFmtId="164" fontId="2" fillId="0" borderId="13" xfId="2" applyFont="1" applyBorder="1"/>
    <xf numFmtId="0" fontId="11" fillId="0" borderId="13" xfId="0" applyFont="1" applyBorder="1"/>
    <xf numFmtId="0" fontId="13" fillId="0" borderId="13" xfId="0" applyFont="1" applyBorder="1"/>
    <xf numFmtId="164" fontId="13" fillId="11" borderId="13" xfId="2" applyFont="1" applyFill="1" applyBorder="1" applyAlignment="1">
      <alignment horizontal="center" vertical="center" wrapText="1"/>
    </xf>
    <xf numFmtId="164" fontId="2" fillId="3" borderId="0" xfId="2" applyFont="1" applyFill="1"/>
    <xf numFmtId="0" fontId="4" fillId="3" borderId="13" xfId="0" applyFont="1" applyFill="1" applyBorder="1"/>
    <xf numFmtId="0" fontId="13" fillId="3" borderId="13" xfId="0" applyFont="1" applyFill="1" applyBorder="1"/>
    <xf numFmtId="0" fontId="7" fillId="2" borderId="1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7" fillId="2" borderId="6" xfId="0" applyFont="1" applyFill="1" applyBorder="1" applyAlignment="1">
      <alignment horizontal="center" vertical="center"/>
    </xf>
    <xf numFmtId="0" fontId="7" fillId="2" borderId="8" xfId="0" applyFont="1" applyFill="1" applyBorder="1" applyAlignment="1">
      <alignment horizontal="center" vertical="center"/>
    </xf>
    <xf numFmtId="0" fontId="7" fillId="2" borderId="9" xfId="0" applyFont="1" applyFill="1" applyBorder="1" applyAlignment="1">
      <alignment horizontal="center" vertical="center"/>
    </xf>
    <xf numFmtId="0" fontId="7" fillId="2" borderId="10" xfId="0" applyFont="1" applyFill="1" applyBorder="1" applyAlignment="1">
      <alignment horizontal="center" vertical="center"/>
    </xf>
    <xf numFmtId="0" fontId="8" fillId="2" borderId="11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0" fontId="8" fillId="2" borderId="16" xfId="0" applyFont="1" applyFill="1" applyBorder="1" applyAlignment="1">
      <alignment horizontal="center" vertical="center"/>
    </xf>
    <xf numFmtId="0" fontId="20" fillId="8" borderId="0" xfId="0" applyFont="1" applyFill="1"/>
    <xf numFmtId="164" fontId="19" fillId="8" borderId="0" xfId="0" applyNumberFormat="1" applyFont="1" applyFill="1"/>
    <xf numFmtId="0" fontId="19" fillId="8" borderId="0" xfId="0" applyFont="1" applyFill="1"/>
    <xf numFmtId="164" fontId="21" fillId="8" borderId="0" xfId="0" applyNumberFormat="1" applyFont="1" applyFill="1"/>
    <xf numFmtId="0" fontId="21" fillId="8" borderId="0" xfId="0" applyFont="1" applyFill="1"/>
    <xf numFmtId="164" fontId="0" fillId="8" borderId="0" xfId="0" applyNumberFormat="1" applyFill="1"/>
    <xf numFmtId="0" fontId="0" fillId="8" borderId="0" xfId="0" applyFill="1"/>
    <xf numFmtId="0" fontId="2" fillId="8" borderId="0" xfId="0" applyFont="1" applyFill="1"/>
    <xf numFmtId="0" fontId="10" fillId="8" borderId="0" xfId="0" applyFont="1" applyFill="1"/>
    <xf numFmtId="3" fontId="2" fillId="8" borderId="0" xfId="0" applyNumberFormat="1" applyFont="1" applyFill="1"/>
    <xf numFmtId="164" fontId="2" fillId="8" borderId="0" xfId="0" applyNumberFormat="1" applyFont="1" applyFill="1"/>
  </cellXfs>
  <cellStyles count="3">
    <cellStyle name="Millares [0]" xfId="1" builtinId="6"/>
    <cellStyle name="Moneda [0]" xfId="2" builtinId="7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80737</xdr:colOff>
      <xdr:row>0</xdr:row>
      <xdr:rowOff>85725</xdr:rowOff>
    </xdr:from>
    <xdr:to>
      <xdr:col>1</xdr:col>
      <xdr:colOff>1940</xdr:colOff>
      <xdr:row>5</xdr:row>
      <xdr:rowOff>36606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434F4D8F-273D-C240-8214-DCD06A3EC0E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0737" y="85725"/>
          <a:ext cx="886403" cy="90338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144237</xdr:colOff>
      <xdr:row>0</xdr:row>
      <xdr:rowOff>187325</xdr:rowOff>
    </xdr:from>
    <xdr:to>
      <xdr:col>0</xdr:col>
      <xdr:colOff>844550</xdr:colOff>
      <xdr:row>4</xdr:row>
      <xdr:rowOff>139700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B2CDA899-C0A9-FB4A-AAB1-8801810F1C92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4237" y="187325"/>
          <a:ext cx="757463" cy="76517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144237</xdr:colOff>
      <xdr:row>0</xdr:row>
      <xdr:rowOff>187325</xdr:rowOff>
    </xdr:from>
    <xdr:to>
      <xdr:col>1</xdr:col>
      <xdr:colOff>0</xdr:colOff>
      <xdr:row>4</xdr:row>
      <xdr:rowOff>149225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806B6104-1A28-4014-8C9B-ACD1580F1F3D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7412" y="187325"/>
          <a:ext cx="700313" cy="7747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144237</xdr:colOff>
      <xdr:row>0</xdr:row>
      <xdr:rowOff>187325</xdr:rowOff>
    </xdr:from>
    <xdr:to>
      <xdr:col>1</xdr:col>
      <xdr:colOff>0</xdr:colOff>
      <xdr:row>4</xdr:row>
      <xdr:rowOff>149225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3F58060E-978A-4C67-AC70-49F46DEFC432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7412" y="187325"/>
          <a:ext cx="703488" cy="78105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144237</xdr:colOff>
      <xdr:row>0</xdr:row>
      <xdr:rowOff>187325</xdr:rowOff>
    </xdr:from>
    <xdr:to>
      <xdr:col>1</xdr:col>
      <xdr:colOff>0</xdr:colOff>
      <xdr:row>4</xdr:row>
      <xdr:rowOff>149225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12523E8C-AE87-4554-A395-BD528C2AB8CF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4237" y="187325"/>
          <a:ext cx="703488" cy="78105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144237</xdr:colOff>
      <xdr:row>0</xdr:row>
      <xdr:rowOff>187325</xdr:rowOff>
    </xdr:from>
    <xdr:to>
      <xdr:col>1</xdr:col>
      <xdr:colOff>0</xdr:colOff>
      <xdr:row>4</xdr:row>
      <xdr:rowOff>149225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FCF1756D-DBCB-4437-B464-929ACD9D3AAA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4237" y="187325"/>
          <a:ext cx="703488" cy="78105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144237</xdr:colOff>
      <xdr:row>0</xdr:row>
      <xdr:rowOff>187325</xdr:rowOff>
    </xdr:from>
    <xdr:to>
      <xdr:col>1</xdr:col>
      <xdr:colOff>0</xdr:colOff>
      <xdr:row>4</xdr:row>
      <xdr:rowOff>149225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F5264D3B-EA35-4DC1-91EF-49E4F37B30C6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4237" y="187325"/>
          <a:ext cx="703488" cy="78105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144237</xdr:colOff>
      <xdr:row>0</xdr:row>
      <xdr:rowOff>187325</xdr:rowOff>
    </xdr:from>
    <xdr:to>
      <xdr:col>0</xdr:col>
      <xdr:colOff>844550</xdr:colOff>
      <xdr:row>5</xdr:row>
      <xdr:rowOff>0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78E63045-DCA4-2047-80D5-A32BD49D9514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4237" y="187325"/>
          <a:ext cx="757463" cy="765175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144237</xdr:colOff>
      <xdr:row>0</xdr:row>
      <xdr:rowOff>187325</xdr:rowOff>
    </xdr:from>
    <xdr:to>
      <xdr:col>0</xdr:col>
      <xdr:colOff>844550</xdr:colOff>
      <xdr:row>5</xdr:row>
      <xdr:rowOff>0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52BE972B-474E-4047-8063-6ED1E23B0F97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4237" y="187325"/>
          <a:ext cx="700313" cy="82232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144237</xdr:colOff>
      <xdr:row>0</xdr:row>
      <xdr:rowOff>187325</xdr:rowOff>
    </xdr:from>
    <xdr:to>
      <xdr:col>0</xdr:col>
      <xdr:colOff>844550</xdr:colOff>
      <xdr:row>5</xdr:row>
      <xdr:rowOff>0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52FD27C2-4114-2044-A41F-652EDB35AC5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4237" y="187325"/>
          <a:ext cx="700313" cy="815975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144237</xdr:colOff>
      <xdr:row>0</xdr:row>
      <xdr:rowOff>187325</xdr:rowOff>
    </xdr:from>
    <xdr:to>
      <xdr:col>0</xdr:col>
      <xdr:colOff>844550</xdr:colOff>
      <xdr:row>5</xdr:row>
      <xdr:rowOff>0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D6D80D17-8455-4B02-A20B-9CDABBF8EE09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4237" y="187325"/>
          <a:ext cx="700313" cy="8223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E98B1-C8DF-564A-9E17-B7F88E4B2F2B}">
  <dimension ref="A1:J48"/>
  <sheetViews>
    <sheetView topLeftCell="A6" workbookViewId="0">
      <selection activeCell="B34" sqref="B34"/>
    </sheetView>
  </sheetViews>
  <sheetFormatPr baseColWidth="10" defaultColWidth="11.42578125" defaultRowHeight="15" x14ac:dyDescent="0.25"/>
  <cols>
    <col min="1" max="1" width="12.7109375" customWidth="1"/>
    <col min="2" max="2" width="58.28515625" customWidth="1"/>
    <col min="3" max="3" width="14.42578125" customWidth="1"/>
    <col min="4" max="4" width="14" customWidth="1"/>
    <col min="5" max="5" width="16" customWidth="1"/>
    <col min="6" max="6" width="14.85546875" customWidth="1"/>
    <col min="8" max="8" width="11.42578125" bestFit="1" customWidth="1"/>
  </cols>
  <sheetData>
    <row r="1" spans="1:10" x14ac:dyDescent="0.25">
      <c r="A1" s="1"/>
      <c r="B1" s="1"/>
      <c r="C1" s="1"/>
      <c r="D1" s="1"/>
    </row>
    <row r="2" spans="1:10" x14ac:dyDescent="0.25">
      <c r="A2" s="2"/>
      <c r="B2" s="78" t="s">
        <v>0</v>
      </c>
      <c r="C2" s="79"/>
      <c r="D2" s="80"/>
      <c r="E2" s="3"/>
    </row>
    <row r="3" spans="1:10" x14ac:dyDescent="0.25">
      <c r="A3" s="2"/>
      <c r="B3" s="81" t="s">
        <v>1</v>
      </c>
      <c r="C3" s="82"/>
      <c r="D3" s="83"/>
      <c r="E3" s="4"/>
    </row>
    <row r="4" spans="1:10" ht="19.5" customHeight="1" x14ac:dyDescent="0.25">
      <c r="A4" s="2"/>
      <c r="B4" s="84" t="s">
        <v>2</v>
      </c>
      <c r="C4" s="85"/>
      <c r="D4" s="86"/>
      <c r="E4" s="35"/>
    </row>
    <row r="5" spans="1:10" x14ac:dyDescent="0.25">
      <c r="A5" s="1"/>
      <c r="B5" s="1"/>
      <c r="C5" s="1"/>
      <c r="D5" s="1"/>
    </row>
    <row r="6" spans="1:10" s="5" customFormat="1" ht="20.25" customHeight="1" x14ac:dyDescent="0.3">
      <c r="A6" s="87" t="s">
        <v>15</v>
      </c>
      <c r="B6" s="88"/>
      <c r="C6" s="88"/>
      <c r="D6" s="88"/>
      <c r="E6" s="89"/>
      <c r="F6"/>
    </row>
    <row r="7" spans="1:10" x14ac:dyDescent="0.25">
      <c r="A7" s="1"/>
      <c r="B7" s="1"/>
      <c r="C7" s="1"/>
      <c r="D7" s="1"/>
    </row>
    <row r="8" spans="1:10" ht="24.75" customHeight="1" x14ac:dyDescent="0.25">
      <c r="A8" s="16" t="s">
        <v>3</v>
      </c>
      <c r="B8" s="16" t="s">
        <v>4</v>
      </c>
      <c r="C8" s="17" t="s">
        <v>5</v>
      </c>
      <c r="D8" s="18" t="s">
        <v>6</v>
      </c>
      <c r="E8" s="26" t="s">
        <v>7</v>
      </c>
    </row>
    <row r="9" spans="1:10" ht="15.75" x14ac:dyDescent="0.25">
      <c r="A9" s="19"/>
      <c r="B9" s="6" t="s">
        <v>9</v>
      </c>
      <c r="C9" s="7"/>
      <c r="D9" s="8"/>
      <c r="E9" s="22">
        <v>6915000</v>
      </c>
    </row>
    <row r="10" spans="1:10" x14ac:dyDescent="0.25">
      <c r="A10" s="19"/>
      <c r="B10" s="15" t="s">
        <v>16</v>
      </c>
      <c r="C10" s="7">
        <v>60000</v>
      </c>
      <c r="D10" s="7"/>
      <c r="E10" s="28">
        <f>(E9+C10)-D10</f>
        <v>6975000</v>
      </c>
    </row>
    <row r="11" spans="1:10" x14ac:dyDescent="0.25">
      <c r="A11" s="19"/>
      <c r="B11" s="15" t="s">
        <v>17</v>
      </c>
      <c r="C11" s="7"/>
      <c r="D11" s="7">
        <v>380000</v>
      </c>
      <c r="E11" s="28">
        <f t="shared" ref="E11:E33" si="0">(E10+C11)-D11</f>
        <v>6595000</v>
      </c>
    </row>
    <row r="12" spans="1:10" x14ac:dyDescent="0.25">
      <c r="A12" s="19"/>
      <c r="B12" s="33" t="s">
        <v>18</v>
      </c>
      <c r="C12" s="7"/>
      <c r="D12" s="7">
        <v>1098000</v>
      </c>
      <c r="E12" s="28">
        <f t="shared" si="0"/>
        <v>5497000</v>
      </c>
      <c r="G12" s="9"/>
    </row>
    <row r="13" spans="1:10" x14ac:dyDescent="0.25">
      <c r="A13" s="19"/>
      <c r="B13" s="33" t="s">
        <v>19</v>
      </c>
      <c r="C13" s="7"/>
      <c r="D13" s="7">
        <v>22000</v>
      </c>
      <c r="E13" s="28">
        <f t="shared" si="0"/>
        <v>5475000</v>
      </c>
      <c r="G13" s="9"/>
    </row>
    <row r="14" spans="1:10" s="10" customFormat="1" ht="15.75" x14ac:dyDescent="0.25">
      <c r="A14" s="19"/>
      <c r="B14" s="33" t="s">
        <v>20</v>
      </c>
      <c r="C14" s="38">
        <v>253000</v>
      </c>
      <c r="D14" s="8"/>
      <c r="E14" s="28">
        <f t="shared" si="0"/>
        <v>5728000</v>
      </c>
      <c r="F14"/>
      <c r="G14" s="45"/>
      <c r="H14" s="36"/>
      <c r="I14" s="36"/>
      <c r="J14" s="36"/>
    </row>
    <row r="15" spans="1:10" s="10" customFormat="1" ht="15.75" x14ac:dyDescent="0.25">
      <c r="A15" s="19"/>
      <c r="B15" s="33" t="s">
        <v>21</v>
      </c>
      <c r="C15" s="38">
        <v>40000</v>
      </c>
      <c r="D15" s="8"/>
      <c r="E15" s="28">
        <f t="shared" si="0"/>
        <v>5768000</v>
      </c>
      <c r="F15"/>
      <c r="G15" s="45"/>
      <c r="H15" s="36"/>
      <c r="I15" s="36"/>
      <c r="J15" s="46"/>
    </row>
    <row r="16" spans="1:10" s="10" customFormat="1" ht="15.75" x14ac:dyDescent="0.25">
      <c r="A16" s="19"/>
      <c r="B16" s="33" t="s">
        <v>22</v>
      </c>
      <c r="C16" s="38">
        <v>180000</v>
      </c>
      <c r="D16" s="8"/>
      <c r="E16" s="28">
        <f t="shared" si="0"/>
        <v>5948000</v>
      </c>
      <c r="F16"/>
      <c r="G16" s="45"/>
      <c r="H16" s="36"/>
      <c r="I16" s="36"/>
      <c r="J16" s="46"/>
    </row>
    <row r="17" spans="1:10" s="10" customFormat="1" ht="15.75" x14ac:dyDescent="0.25">
      <c r="A17" s="19"/>
      <c r="B17" s="33" t="s">
        <v>23</v>
      </c>
      <c r="C17" s="38"/>
      <c r="D17" s="8">
        <v>40000</v>
      </c>
      <c r="E17" s="28">
        <f t="shared" si="0"/>
        <v>5908000</v>
      </c>
      <c r="F17"/>
      <c r="G17" s="45"/>
      <c r="H17" s="36"/>
      <c r="I17" s="36"/>
      <c r="J17" s="46"/>
    </row>
    <row r="18" spans="1:10" s="10" customFormat="1" ht="15.75" x14ac:dyDescent="0.25">
      <c r="A18" s="19"/>
      <c r="B18" s="15" t="s">
        <v>24</v>
      </c>
      <c r="C18" s="38">
        <v>106000</v>
      </c>
      <c r="D18" s="8"/>
      <c r="E18" s="28">
        <f t="shared" si="0"/>
        <v>6014000</v>
      </c>
      <c r="F18"/>
      <c r="G18" s="45"/>
      <c r="H18" s="36"/>
      <c r="I18" s="36"/>
      <c r="J18" s="36"/>
    </row>
    <row r="19" spans="1:10" s="10" customFormat="1" ht="15.75" x14ac:dyDescent="0.25">
      <c r="A19" s="19"/>
      <c r="B19" s="33" t="s">
        <v>25</v>
      </c>
      <c r="C19" s="38">
        <v>265800</v>
      </c>
      <c r="D19" s="8"/>
      <c r="E19" s="28">
        <f t="shared" si="0"/>
        <v>6279800</v>
      </c>
      <c r="F19"/>
      <c r="G19" s="45"/>
      <c r="H19" s="36"/>
      <c r="I19" s="36"/>
      <c r="J19" s="36"/>
    </row>
    <row r="20" spans="1:10" s="10" customFormat="1" ht="15.75" x14ac:dyDescent="0.25">
      <c r="A20" s="19"/>
      <c r="B20" s="33" t="s">
        <v>26</v>
      </c>
      <c r="C20" s="38">
        <v>80000</v>
      </c>
      <c r="D20" s="8"/>
      <c r="E20" s="28">
        <f t="shared" si="0"/>
        <v>6359800</v>
      </c>
      <c r="F20"/>
      <c r="G20" s="45"/>
      <c r="H20" s="36"/>
      <c r="I20" s="36"/>
      <c r="J20" s="46"/>
    </row>
    <row r="21" spans="1:10" x14ac:dyDescent="0.25">
      <c r="A21" s="19"/>
      <c r="B21" s="33" t="s">
        <v>27</v>
      </c>
      <c r="C21" s="38">
        <v>60000</v>
      </c>
      <c r="D21" s="8"/>
      <c r="E21" s="28">
        <f t="shared" si="0"/>
        <v>6419800</v>
      </c>
    </row>
    <row r="22" spans="1:10" x14ac:dyDescent="0.25">
      <c r="A22" s="19"/>
      <c r="B22" s="33" t="s">
        <v>28</v>
      </c>
      <c r="C22" s="38"/>
      <c r="D22" s="8">
        <v>1750000</v>
      </c>
      <c r="E22" s="28">
        <f t="shared" si="0"/>
        <v>4669800</v>
      </c>
    </row>
    <row r="23" spans="1:10" x14ac:dyDescent="0.25">
      <c r="A23" s="19"/>
      <c r="B23" s="32" t="s">
        <v>29</v>
      </c>
      <c r="C23" s="7">
        <v>80000</v>
      </c>
      <c r="D23" s="8"/>
      <c r="E23" s="28">
        <f t="shared" si="0"/>
        <v>4749800</v>
      </c>
    </row>
    <row r="24" spans="1:10" x14ac:dyDescent="0.25">
      <c r="A24" s="19"/>
      <c r="B24" s="32" t="s">
        <v>30</v>
      </c>
      <c r="C24" s="7">
        <v>60000</v>
      </c>
      <c r="D24" s="8"/>
      <c r="E24" s="28">
        <f t="shared" si="0"/>
        <v>4809800</v>
      </c>
    </row>
    <row r="25" spans="1:10" x14ac:dyDescent="0.25">
      <c r="A25" s="19"/>
      <c r="B25" s="32" t="s">
        <v>31</v>
      </c>
      <c r="C25" s="7">
        <v>120000</v>
      </c>
      <c r="D25" s="8"/>
      <c r="E25" s="28">
        <f t="shared" si="0"/>
        <v>4929800</v>
      </c>
    </row>
    <row r="26" spans="1:10" x14ac:dyDescent="0.25">
      <c r="A26" s="19"/>
      <c r="B26" s="32" t="s">
        <v>32</v>
      </c>
      <c r="C26" s="7"/>
      <c r="D26" s="8">
        <v>50000</v>
      </c>
      <c r="E26" s="28">
        <f t="shared" si="0"/>
        <v>4879800</v>
      </c>
    </row>
    <row r="27" spans="1:10" x14ac:dyDescent="0.25">
      <c r="A27" s="19"/>
      <c r="B27" s="32" t="s">
        <v>33</v>
      </c>
      <c r="C27" s="7">
        <v>120000</v>
      </c>
      <c r="D27" s="8"/>
      <c r="E27" s="28">
        <f t="shared" si="0"/>
        <v>4999800</v>
      </c>
    </row>
    <row r="28" spans="1:10" x14ac:dyDescent="0.25">
      <c r="A28" s="19"/>
      <c r="B28" s="32" t="s">
        <v>34</v>
      </c>
      <c r="C28" s="7">
        <v>120000</v>
      </c>
      <c r="D28" s="8"/>
      <c r="E28" s="28">
        <f t="shared" si="0"/>
        <v>5119800</v>
      </c>
    </row>
    <row r="29" spans="1:10" x14ac:dyDescent="0.25">
      <c r="A29" s="19"/>
      <c r="B29" s="15" t="s">
        <v>35</v>
      </c>
      <c r="C29" s="7">
        <v>80000</v>
      </c>
      <c r="D29" s="8"/>
      <c r="E29" s="28">
        <f t="shared" si="0"/>
        <v>5199800</v>
      </c>
    </row>
    <row r="30" spans="1:10" x14ac:dyDescent="0.25">
      <c r="A30" s="19"/>
      <c r="B30" s="15" t="s">
        <v>36</v>
      </c>
      <c r="C30" s="7">
        <v>80000</v>
      </c>
      <c r="D30" s="8"/>
      <c r="E30" s="28">
        <f t="shared" si="0"/>
        <v>5279800</v>
      </c>
    </row>
    <row r="31" spans="1:10" x14ac:dyDescent="0.25">
      <c r="A31" s="19"/>
      <c r="B31" s="15" t="s">
        <v>37</v>
      </c>
      <c r="C31" s="7">
        <v>46000</v>
      </c>
      <c r="D31" s="8"/>
      <c r="E31" s="28">
        <f t="shared" si="0"/>
        <v>5325800</v>
      </c>
      <c r="F31" s="40"/>
    </row>
    <row r="32" spans="1:10" x14ac:dyDescent="0.25">
      <c r="A32" s="19"/>
      <c r="B32" s="15" t="s">
        <v>38</v>
      </c>
      <c r="C32" s="7">
        <v>66000</v>
      </c>
      <c r="D32" s="8"/>
      <c r="E32" s="28">
        <f t="shared" si="0"/>
        <v>5391800</v>
      </c>
    </row>
    <row r="33" spans="1:8" x14ac:dyDescent="0.25">
      <c r="A33" s="19"/>
      <c r="B33" s="15" t="s">
        <v>39</v>
      </c>
      <c r="C33" s="7">
        <v>315000</v>
      </c>
      <c r="D33" s="8"/>
      <c r="E33" s="28">
        <f t="shared" si="0"/>
        <v>5706800</v>
      </c>
    </row>
    <row r="34" spans="1:8" ht="15.75" x14ac:dyDescent="0.25">
      <c r="A34" s="20"/>
      <c r="B34" s="21" t="s">
        <v>8</v>
      </c>
      <c r="C34" s="22">
        <f>SUM(C10:C33)</f>
        <v>2131800</v>
      </c>
      <c r="D34" s="22">
        <v>3270350</v>
      </c>
      <c r="E34" s="27">
        <f>E33</f>
        <v>5706800</v>
      </c>
    </row>
    <row r="35" spans="1:8" ht="15.75" x14ac:dyDescent="0.25">
      <c r="A35" s="20"/>
      <c r="B35" s="29"/>
      <c r="C35" s="30"/>
      <c r="D35" s="30"/>
      <c r="E35" s="31"/>
    </row>
    <row r="36" spans="1:8" ht="15.75" x14ac:dyDescent="0.25">
      <c r="A36" s="20"/>
      <c r="B36" s="29"/>
      <c r="C36" s="30"/>
      <c r="D36" s="30"/>
    </row>
    <row r="37" spans="1:8" ht="15.75" x14ac:dyDescent="0.25">
      <c r="A37" s="23"/>
      <c r="B37" s="25" t="s">
        <v>9</v>
      </c>
      <c r="C37" s="27">
        <f>E9</f>
        <v>6915000</v>
      </c>
      <c r="D37" s="24"/>
      <c r="E37" s="9"/>
    </row>
    <row r="38" spans="1:8" ht="15.75" x14ac:dyDescent="0.25">
      <c r="A38" s="23"/>
      <c r="B38" s="25" t="s">
        <v>5</v>
      </c>
      <c r="C38" s="14">
        <f>C34</f>
        <v>2131800</v>
      </c>
      <c r="D38" s="24"/>
    </row>
    <row r="39" spans="1:8" ht="15.75" x14ac:dyDescent="0.25">
      <c r="A39" s="23"/>
      <c r="B39" s="13" t="s">
        <v>10</v>
      </c>
      <c r="C39" s="12">
        <v>135</v>
      </c>
      <c r="D39" s="24"/>
    </row>
    <row r="40" spans="1:8" ht="15.75" x14ac:dyDescent="0.25">
      <c r="A40" s="23"/>
      <c r="B40" s="22" t="s">
        <v>11</v>
      </c>
      <c r="C40" s="22">
        <f>C37+C38</f>
        <v>9046800</v>
      </c>
      <c r="D40" s="24"/>
      <c r="H40" s="9"/>
    </row>
    <row r="41" spans="1:8" ht="15.75" x14ac:dyDescent="0.25">
      <c r="A41" s="23"/>
      <c r="B41" s="34" t="s">
        <v>6</v>
      </c>
      <c r="C41" s="14">
        <f>+D34</f>
        <v>3270350</v>
      </c>
      <c r="D41" s="24"/>
    </row>
    <row r="42" spans="1:8" ht="15.75" x14ac:dyDescent="0.25">
      <c r="B42" s="22" t="s">
        <v>12</v>
      </c>
      <c r="C42" s="22">
        <f>E34</f>
        <v>5706800</v>
      </c>
    </row>
    <row r="43" spans="1:8" ht="21" x14ac:dyDescent="0.35">
      <c r="C43" s="37"/>
    </row>
    <row r="44" spans="1:8" x14ac:dyDescent="0.25">
      <c r="E44" s="39"/>
    </row>
    <row r="45" spans="1:8" ht="21" x14ac:dyDescent="0.35">
      <c r="B45" s="11" t="s">
        <v>13</v>
      </c>
      <c r="C45" s="37"/>
    </row>
    <row r="46" spans="1:8" x14ac:dyDescent="0.25">
      <c r="B46" s="11" t="s">
        <v>14</v>
      </c>
    </row>
    <row r="47" spans="1:8" x14ac:dyDescent="0.25">
      <c r="B47" s="11"/>
    </row>
    <row r="48" spans="1:8" ht="21" x14ac:dyDescent="0.35">
      <c r="C48" s="37"/>
    </row>
  </sheetData>
  <mergeCells count="4">
    <mergeCell ref="B2:D2"/>
    <mergeCell ref="B3:D3"/>
    <mergeCell ref="B4:D4"/>
    <mergeCell ref="A6:E6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71E05-56D0-674F-8041-A5BEC8B80B53}">
  <dimension ref="A1:J47"/>
  <sheetViews>
    <sheetView workbookViewId="0">
      <selection activeCell="A6" sqref="A6:E6"/>
    </sheetView>
  </sheetViews>
  <sheetFormatPr baseColWidth="10" defaultColWidth="11.42578125" defaultRowHeight="15" x14ac:dyDescent="0.25"/>
  <cols>
    <col min="1" max="1" width="12.7109375" customWidth="1"/>
    <col min="2" max="2" width="58.28515625" customWidth="1"/>
    <col min="3" max="3" width="14.42578125" customWidth="1"/>
    <col min="4" max="4" width="14" customWidth="1"/>
    <col min="5" max="5" width="16" customWidth="1"/>
    <col min="6" max="6" width="14.85546875" customWidth="1"/>
    <col min="8" max="8" width="11.42578125" bestFit="1" customWidth="1"/>
  </cols>
  <sheetData>
    <row r="1" spans="1:10" x14ac:dyDescent="0.25">
      <c r="A1" s="1"/>
      <c r="B1" s="1"/>
      <c r="C1" s="1"/>
      <c r="D1" s="1"/>
    </row>
    <row r="2" spans="1:10" x14ac:dyDescent="0.25">
      <c r="A2" s="2"/>
      <c r="B2" s="78" t="s">
        <v>0</v>
      </c>
      <c r="C2" s="79"/>
      <c r="D2" s="80"/>
      <c r="E2" s="3"/>
    </row>
    <row r="3" spans="1:10" x14ac:dyDescent="0.25">
      <c r="A3" s="2"/>
      <c r="B3" s="81" t="s">
        <v>1</v>
      </c>
      <c r="C3" s="82"/>
      <c r="D3" s="83"/>
      <c r="E3" s="4"/>
    </row>
    <row r="4" spans="1:10" ht="19.5" customHeight="1" x14ac:dyDescent="0.25">
      <c r="A4" s="2"/>
      <c r="B4" s="84" t="s">
        <v>2</v>
      </c>
      <c r="C4" s="85"/>
      <c r="D4" s="86"/>
      <c r="E4" s="35"/>
    </row>
    <row r="5" spans="1:10" x14ac:dyDescent="0.25">
      <c r="A5" s="1"/>
      <c r="B5" s="1"/>
      <c r="C5" s="1"/>
      <c r="D5" s="1"/>
    </row>
    <row r="6" spans="1:10" s="5" customFormat="1" ht="20.25" customHeight="1" x14ac:dyDescent="0.3">
      <c r="A6" s="87" t="s">
        <v>40</v>
      </c>
      <c r="B6" s="88"/>
      <c r="C6" s="88"/>
      <c r="D6" s="88"/>
      <c r="E6" s="89"/>
      <c r="F6"/>
    </row>
    <row r="7" spans="1:10" x14ac:dyDescent="0.25">
      <c r="A7" s="1"/>
      <c r="B7" s="1"/>
      <c r="C7" s="1"/>
      <c r="D7" s="1"/>
    </row>
    <row r="8" spans="1:10" ht="24.75" customHeight="1" x14ac:dyDescent="0.25">
      <c r="A8" s="16" t="s">
        <v>3</v>
      </c>
      <c r="B8" s="16" t="s">
        <v>4</v>
      </c>
      <c r="C8" s="17" t="s">
        <v>5</v>
      </c>
      <c r="D8" s="18" t="s">
        <v>6</v>
      </c>
      <c r="E8" s="26" t="s">
        <v>7</v>
      </c>
    </row>
    <row r="9" spans="1:10" ht="15.75" x14ac:dyDescent="0.25">
      <c r="A9" s="19"/>
      <c r="B9" s="6" t="s">
        <v>9</v>
      </c>
      <c r="C9" s="7"/>
      <c r="D9" s="8"/>
      <c r="E9" s="22">
        <f>'CORTE ENERO 20 -25'!C42</f>
        <v>5706800</v>
      </c>
    </row>
    <row r="10" spans="1:10" x14ac:dyDescent="0.25">
      <c r="A10" s="19"/>
      <c r="B10" s="15" t="s">
        <v>41</v>
      </c>
      <c r="C10" s="7">
        <v>46000</v>
      </c>
      <c r="D10" s="7"/>
      <c r="E10" s="28">
        <f>(E9+C10)-D10</f>
        <v>5752800</v>
      </c>
    </row>
    <row r="11" spans="1:10" x14ac:dyDescent="0.25">
      <c r="A11" s="19"/>
      <c r="B11" s="15" t="s">
        <v>42</v>
      </c>
      <c r="C11" s="7">
        <v>220000</v>
      </c>
      <c r="D11" s="7"/>
      <c r="E11" s="28">
        <f t="shared" ref="E11:E22" si="0">(E10+C11)-D11</f>
        <v>5972800</v>
      </c>
    </row>
    <row r="12" spans="1:10" x14ac:dyDescent="0.25">
      <c r="A12" s="19"/>
      <c r="B12" s="33" t="s">
        <v>43</v>
      </c>
      <c r="C12" s="7">
        <v>46000</v>
      </c>
      <c r="D12" s="7"/>
      <c r="E12" s="28">
        <f t="shared" si="0"/>
        <v>6018800</v>
      </c>
      <c r="G12" s="9"/>
    </row>
    <row r="13" spans="1:10" s="10" customFormat="1" ht="15.75" x14ac:dyDescent="0.25">
      <c r="A13" s="19"/>
      <c r="B13" s="33" t="s">
        <v>44</v>
      </c>
      <c r="C13" s="38">
        <v>46000</v>
      </c>
      <c r="D13" s="8"/>
      <c r="E13" s="28">
        <f t="shared" si="0"/>
        <v>6064800</v>
      </c>
      <c r="F13"/>
      <c r="G13" s="45"/>
      <c r="H13" s="36"/>
      <c r="I13" s="36"/>
      <c r="J13" s="36"/>
    </row>
    <row r="14" spans="1:10" s="10" customFormat="1" ht="15.75" x14ac:dyDescent="0.25">
      <c r="A14" s="19"/>
      <c r="B14" s="33" t="s">
        <v>45</v>
      </c>
      <c r="C14" s="38">
        <v>66000</v>
      </c>
      <c r="D14" s="8"/>
      <c r="E14" s="28">
        <f t="shared" si="0"/>
        <v>6130800</v>
      </c>
      <c r="F14"/>
      <c r="G14" s="45"/>
      <c r="H14" s="36"/>
      <c r="I14" s="36"/>
      <c r="J14" s="46"/>
    </row>
    <row r="15" spans="1:10" s="10" customFormat="1" ht="15.75" x14ac:dyDescent="0.25">
      <c r="A15" s="19"/>
      <c r="B15" s="33" t="s">
        <v>46</v>
      </c>
      <c r="C15" s="38">
        <v>92000</v>
      </c>
      <c r="D15" s="8"/>
      <c r="E15" s="28">
        <f t="shared" si="0"/>
        <v>6222800</v>
      </c>
      <c r="F15"/>
      <c r="G15" s="45"/>
      <c r="H15" s="36"/>
      <c r="I15" s="36"/>
      <c r="J15" s="46"/>
    </row>
    <row r="16" spans="1:10" s="10" customFormat="1" ht="15.75" x14ac:dyDescent="0.25">
      <c r="A16" s="19"/>
      <c r="B16" s="33" t="s">
        <v>47</v>
      </c>
      <c r="C16" s="38">
        <v>46000</v>
      </c>
      <c r="D16" s="8"/>
      <c r="E16" s="28">
        <f t="shared" si="0"/>
        <v>6268800</v>
      </c>
      <c r="F16"/>
      <c r="G16" s="45"/>
      <c r="H16" s="36"/>
      <c r="I16" s="36"/>
      <c r="J16" s="46"/>
    </row>
    <row r="17" spans="1:10" s="10" customFormat="1" ht="15.75" x14ac:dyDescent="0.25">
      <c r="A17" s="19"/>
      <c r="B17" s="15" t="s">
        <v>48</v>
      </c>
      <c r="C17" s="38">
        <v>92000</v>
      </c>
      <c r="D17" s="8"/>
      <c r="E17" s="28">
        <f t="shared" si="0"/>
        <v>6360800</v>
      </c>
      <c r="F17"/>
      <c r="G17" s="45"/>
      <c r="H17" s="36"/>
      <c r="I17" s="36"/>
      <c r="J17" s="36"/>
    </row>
    <row r="18" spans="1:10" s="10" customFormat="1" ht="15.75" x14ac:dyDescent="0.25">
      <c r="A18" s="19"/>
      <c r="B18" s="33" t="s">
        <v>49</v>
      </c>
      <c r="C18" s="38">
        <v>46000</v>
      </c>
      <c r="D18" s="8"/>
      <c r="E18" s="28">
        <f t="shared" si="0"/>
        <v>6406800</v>
      </c>
      <c r="F18"/>
      <c r="G18" s="45"/>
      <c r="H18" s="36"/>
      <c r="I18" s="36"/>
      <c r="J18" s="36"/>
    </row>
    <row r="19" spans="1:10" s="10" customFormat="1" ht="15.75" x14ac:dyDescent="0.25">
      <c r="A19" s="19"/>
      <c r="B19" s="33" t="s">
        <v>50</v>
      </c>
      <c r="C19" s="38">
        <v>46000</v>
      </c>
      <c r="D19" s="8"/>
      <c r="E19" s="28">
        <f t="shared" si="0"/>
        <v>6452800</v>
      </c>
      <c r="F19"/>
      <c r="G19" s="45"/>
      <c r="H19" s="36"/>
      <c r="I19" s="36"/>
      <c r="J19" s="46"/>
    </row>
    <row r="20" spans="1:10" x14ac:dyDescent="0.25">
      <c r="A20" s="19"/>
      <c r="B20" s="33" t="s">
        <v>51</v>
      </c>
      <c r="C20" s="38">
        <v>45000</v>
      </c>
      <c r="D20" s="8"/>
      <c r="E20" s="28">
        <f t="shared" si="0"/>
        <v>6497800</v>
      </c>
    </row>
    <row r="21" spans="1:10" x14ac:dyDescent="0.25">
      <c r="A21" s="19"/>
      <c r="B21" s="33" t="s">
        <v>52</v>
      </c>
      <c r="C21" s="38">
        <v>20000</v>
      </c>
      <c r="D21" s="8"/>
      <c r="E21" s="28">
        <f t="shared" si="0"/>
        <v>6517800</v>
      </c>
    </row>
    <row r="22" spans="1:10" x14ac:dyDescent="0.25">
      <c r="A22" s="19"/>
      <c r="B22" s="32" t="s">
        <v>53</v>
      </c>
      <c r="C22" s="7">
        <v>286000</v>
      </c>
      <c r="D22" s="8"/>
      <c r="E22" s="28">
        <f t="shared" si="0"/>
        <v>6803800</v>
      </c>
    </row>
    <row r="23" spans="1:10" x14ac:dyDescent="0.25">
      <c r="A23" s="19"/>
      <c r="B23" s="32" t="s">
        <v>54</v>
      </c>
      <c r="C23" s="7">
        <v>166000</v>
      </c>
      <c r="D23" s="8"/>
      <c r="E23" s="28">
        <f>(E22+C23)-D23</f>
        <v>6969800</v>
      </c>
    </row>
    <row r="24" spans="1:10" x14ac:dyDescent="0.25">
      <c r="A24" s="19"/>
      <c r="B24" s="32" t="s">
        <v>55</v>
      </c>
      <c r="C24" s="7">
        <v>92000</v>
      </c>
      <c r="D24" s="8"/>
      <c r="E24" s="28">
        <f>(E23+C24)-D24</f>
        <v>7061800</v>
      </c>
    </row>
    <row r="25" spans="1:10" x14ac:dyDescent="0.25">
      <c r="A25" s="19"/>
      <c r="B25" s="32" t="s">
        <v>56</v>
      </c>
      <c r="C25" s="7">
        <v>92000</v>
      </c>
      <c r="D25" s="8"/>
      <c r="E25" s="28">
        <f>(E24+C25)-D25</f>
        <v>7153800</v>
      </c>
    </row>
    <row r="26" spans="1:10" x14ac:dyDescent="0.25">
      <c r="A26" s="19"/>
      <c r="B26" s="32" t="s">
        <v>57</v>
      </c>
      <c r="C26" s="7"/>
      <c r="D26" s="8">
        <v>50000</v>
      </c>
      <c r="E26" s="28">
        <f t="shared" ref="E26:E32" si="1">(E25+C26)-D26</f>
        <v>7103800</v>
      </c>
    </row>
    <row r="27" spans="1:10" x14ac:dyDescent="0.25">
      <c r="A27" s="19"/>
      <c r="B27" s="32" t="s">
        <v>58</v>
      </c>
      <c r="C27" s="7"/>
      <c r="D27" s="8">
        <v>2251622</v>
      </c>
      <c r="E27" s="28">
        <f t="shared" si="1"/>
        <v>4852178</v>
      </c>
    </row>
    <row r="28" spans="1:10" x14ac:dyDescent="0.25">
      <c r="A28" s="19"/>
      <c r="B28" s="32" t="s">
        <v>59</v>
      </c>
      <c r="C28" s="7"/>
      <c r="D28" s="8">
        <v>16500</v>
      </c>
      <c r="E28" s="28">
        <f t="shared" si="1"/>
        <v>4835678</v>
      </c>
    </row>
    <row r="29" spans="1:10" x14ac:dyDescent="0.25">
      <c r="A29" s="19"/>
      <c r="B29" s="15" t="s">
        <v>60</v>
      </c>
      <c r="C29" s="7"/>
      <c r="D29" s="8">
        <v>200000</v>
      </c>
      <c r="E29" s="28">
        <f t="shared" si="1"/>
        <v>4635678</v>
      </c>
    </row>
    <row r="30" spans="1:10" x14ac:dyDescent="0.25">
      <c r="A30" s="19"/>
      <c r="B30" s="15" t="s">
        <v>61</v>
      </c>
      <c r="C30" s="7"/>
      <c r="D30" s="8">
        <v>250000</v>
      </c>
      <c r="E30" s="28">
        <f t="shared" si="1"/>
        <v>4385678</v>
      </c>
      <c r="F30" s="40"/>
    </row>
    <row r="31" spans="1:10" x14ac:dyDescent="0.25">
      <c r="A31" s="19"/>
      <c r="B31" s="15" t="s">
        <v>62</v>
      </c>
      <c r="C31" s="7">
        <v>128800</v>
      </c>
      <c r="D31" s="8"/>
      <c r="E31" s="28">
        <f t="shared" si="1"/>
        <v>4514478</v>
      </c>
    </row>
    <row r="32" spans="1:10" x14ac:dyDescent="0.25">
      <c r="A32" s="19"/>
      <c r="B32" s="15" t="s">
        <v>63</v>
      </c>
      <c r="C32" s="7">
        <v>20000</v>
      </c>
      <c r="D32" s="8"/>
      <c r="E32" s="28">
        <f t="shared" si="1"/>
        <v>4534478</v>
      </c>
    </row>
    <row r="33" spans="1:8" ht="15.75" x14ac:dyDescent="0.25">
      <c r="A33" s="20"/>
      <c r="B33" s="21" t="s">
        <v>8</v>
      </c>
      <c r="C33" s="22">
        <f>SUM(C10:C32)</f>
        <v>1595800</v>
      </c>
      <c r="D33" s="22">
        <f>SUM(D9:D32)</f>
        <v>2768122</v>
      </c>
      <c r="E33" s="27">
        <f>E32</f>
        <v>4534478</v>
      </c>
    </row>
    <row r="34" spans="1:8" ht="15.75" x14ac:dyDescent="0.25">
      <c r="A34" s="20"/>
      <c r="B34" s="29"/>
      <c r="C34" s="30"/>
      <c r="D34" s="30"/>
      <c r="E34" s="31"/>
    </row>
    <row r="35" spans="1:8" ht="15.75" x14ac:dyDescent="0.25">
      <c r="A35" s="20"/>
      <c r="B35" s="29"/>
      <c r="C35" s="30"/>
      <c r="D35" s="30"/>
    </row>
    <row r="36" spans="1:8" ht="15.75" x14ac:dyDescent="0.25">
      <c r="A36" s="23"/>
      <c r="B36" s="25" t="s">
        <v>9</v>
      </c>
      <c r="C36" s="27">
        <f>E9</f>
        <v>5706800</v>
      </c>
      <c r="D36" s="24"/>
      <c r="E36" s="9"/>
    </row>
    <row r="37" spans="1:8" ht="15.75" x14ac:dyDescent="0.25">
      <c r="A37" s="23"/>
      <c r="B37" s="25" t="s">
        <v>5</v>
      </c>
      <c r="C37" s="14">
        <f>C33</f>
        <v>1595800</v>
      </c>
      <c r="D37" s="24"/>
    </row>
    <row r="38" spans="1:8" ht="15.75" x14ac:dyDescent="0.25">
      <c r="A38" s="23"/>
      <c r="B38" s="13" t="s">
        <v>64</v>
      </c>
      <c r="C38" s="12">
        <v>135</v>
      </c>
      <c r="D38" s="24"/>
    </row>
    <row r="39" spans="1:8" ht="15.75" x14ac:dyDescent="0.25">
      <c r="A39" s="23"/>
      <c r="B39" s="22" t="s">
        <v>11</v>
      </c>
      <c r="C39" s="22">
        <f>C36+C37</f>
        <v>7302600</v>
      </c>
      <c r="D39" s="24"/>
      <c r="H39" s="9"/>
    </row>
    <row r="40" spans="1:8" ht="15.75" x14ac:dyDescent="0.25">
      <c r="A40" s="23"/>
      <c r="B40" s="34" t="s">
        <v>6</v>
      </c>
      <c r="C40" s="14">
        <f>+D33</f>
        <v>2768122</v>
      </c>
      <c r="D40" s="24"/>
    </row>
    <row r="41" spans="1:8" ht="15.75" x14ac:dyDescent="0.25">
      <c r="B41" s="22" t="s">
        <v>12</v>
      </c>
      <c r="C41" s="22">
        <f>E33</f>
        <v>4534478</v>
      </c>
    </row>
    <row r="42" spans="1:8" ht="21" x14ac:dyDescent="0.35">
      <c r="C42" s="37"/>
    </row>
    <row r="43" spans="1:8" x14ac:dyDescent="0.25">
      <c r="E43" s="39"/>
    </row>
    <row r="44" spans="1:8" ht="21" x14ac:dyDescent="0.35">
      <c r="B44" s="11" t="s">
        <v>13</v>
      </c>
      <c r="C44" s="37"/>
    </row>
    <row r="45" spans="1:8" x14ac:dyDescent="0.25">
      <c r="B45" s="11" t="s">
        <v>14</v>
      </c>
    </row>
    <row r="46" spans="1:8" x14ac:dyDescent="0.25">
      <c r="B46" s="11"/>
    </row>
    <row r="47" spans="1:8" ht="21" x14ac:dyDescent="0.35">
      <c r="C47" s="37"/>
    </row>
  </sheetData>
  <mergeCells count="4">
    <mergeCell ref="B2:D2"/>
    <mergeCell ref="B3:D3"/>
    <mergeCell ref="B4:D4"/>
    <mergeCell ref="A6:E6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69036-B9C5-4C15-BE52-497C57F4FAEF}">
  <dimension ref="A1:J47"/>
  <sheetViews>
    <sheetView topLeftCell="A7" workbookViewId="0">
      <selection activeCell="C41" sqref="C41"/>
    </sheetView>
  </sheetViews>
  <sheetFormatPr baseColWidth="10" defaultColWidth="11.42578125" defaultRowHeight="15" x14ac:dyDescent="0.25"/>
  <cols>
    <col min="1" max="1" width="12.7109375" customWidth="1"/>
    <col min="2" max="2" width="58.28515625" customWidth="1"/>
    <col min="3" max="3" width="14.42578125" customWidth="1"/>
    <col min="4" max="4" width="14" customWidth="1"/>
    <col min="5" max="5" width="16" customWidth="1"/>
    <col min="6" max="6" width="14.85546875" customWidth="1"/>
    <col min="8" max="8" width="11.42578125" bestFit="1" customWidth="1"/>
  </cols>
  <sheetData>
    <row r="1" spans="1:10" x14ac:dyDescent="0.25">
      <c r="A1" s="1"/>
      <c r="B1" s="1"/>
      <c r="C1" s="1"/>
      <c r="D1" s="1"/>
    </row>
    <row r="2" spans="1:10" x14ac:dyDescent="0.25">
      <c r="A2" s="2"/>
      <c r="B2" s="78" t="s">
        <v>0</v>
      </c>
      <c r="C2" s="79"/>
      <c r="D2" s="80"/>
      <c r="E2" s="3"/>
    </row>
    <row r="3" spans="1:10" x14ac:dyDescent="0.25">
      <c r="A3" s="2"/>
      <c r="B3" s="81" t="s">
        <v>1</v>
      </c>
      <c r="C3" s="82"/>
      <c r="D3" s="83"/>
      <c r="E3" s="4"/>
    </row>
    <row r="4" spans="1:10" ht="19.5" customHeight="1" x14ac:dyDescent="0.25">
      <c r="A4" s="2"/>
      <c r="B4" s="84" t="s">
        <v>2</v>
      </c>
      <c r="C4" s="85"/>
      <c r="D4" s="86"/>
      <c r="E4" s="35"/>
    </row>
    <row r="5" spans="1:10" x14ac:dyDescent="0.25">
      <c r="A5" s="1"/>
      <c r="B5" s="1"/>
      <c r="C5" s="1"/>
      <c r="D5" s="1"/>
    </row>
    <row r="6" spans="1:10" s="5" customFormat="1" ht="20.25" customHeight="1" x14ac:dyDescent="0.3">
      <c r="A6" s="87" t="s">
        <v>65</v>
      </c>
      <c r="B6" s="88"/>
      <c r="C6" s="88"/>
      <c r="D6" s="88"/>
      <c r="E6" s="89"/>
      <c r="F6"/>
    </row>
    <row r="7" spans="1:10" x14ac:dyDescent="0.25">
      <c r="A7" s="1"/>
      <c r="B7" s="1"/>
      <c r="C7" s="1"/>
      <c r="D7" s="1"/>
    </row>
    <row r="8" spans="1:10" ht="24.75" customHeight="1" x14ac:dyDescent="0.25">
      <c r="A8" s="16" t="s">
        <v>3</v>
      </c>
      <c r="B8" s="16" t="s">
        <v>4</v>
      </c>
      <c r="C8" s="17" t="s">
        <v>5</v>
      </c>
      <c r="D8" s="18" t="s">
        <v>6</v>
      </c>
      <c r="E8" s="26" t="s">
        <v>7</v>
      </c>
    </row>
    <row r="9" spans="1:10" ht="15.75" x14ac:dyDescent="0.25">
      <c r="A9" s="19"/>
      <c r="B9" s="6" t="s">
        <v>9</v>
      </c>
      <c r="C9" s="7"/>
      <c r="D9" s="8"/>
      <c r="E9" s="22">
        <f>'CORTE ENERO 20 -25'!C42</f>
        <v>5706800</v>
      </c>
    </row>
    <row r="10" spans="1:10" x14ac:dyDescent="0.25">
      <c r="A10" s="19"/>
      <c r="B10" s="15" t="s">
        <v>41</v>
      </c>
      <c r="C10" s="7">
        <v>46000</v>
      </c>
      <c r="D10" s="7"/>
      <c r="E10" s="28">
        <f>(E9+C10)-D10</f>
        <v>5752800</v>
      </c>
    </row>
    <row r="11" spans="1:10" x14ac:dyDescent="0.25">
      <c r="A11" s="19"/>
      <c r="B11" s="15" t="s">
        <v>42</v>
      </c>
      <c r="C11" s="7">
        <v>220000</v>
      </c>
      <c r="D11" s="7"/>
      <c r="E11" s="28">
        <f t="shared" ref="E11:E22" si="0">(E10+C11)-D11</f>
        <v>5972800</v>
      </c>
    </row>
    <row r="12" spans="1:10" x14ac:dyDescent="0.25">
      <c r="A12" s="19"/>
      <c r="B12" s="33" t="s">
        <v>43</v>
      </c>
      <c r="C12" s="7">
        <v>46000</v>
      </c>
      <c r="D12" s="7"/>
      <c r="E12" s="28">
        <f t="shared" si="0"/>
        <v>6018800</v>
      </c>
      <c r="G12" s="9"/>
    </row>
    <row r="13" spans="1:10" s="10" customFormat="1" ht="15.75" x14ac:dyDescent="0.25">
      <c r="A13" s="19"/>
      <c r="B13" s="33" t="s">
        <v>44</v>
      </c>
      <c r="C13" s="38">
        <v>46000</v>
      </c>
      <c r="D13" s="8"/>
      <c r="E13" s="28">
        <f t="shared" si="0"/>
        <v>6064800</v>
      </c>
      <c r="F13"/>
      <c r="G13" s="45"/>
      <c r="H13" s="36"/>
      <c r="I13" s="36"/>
      <c r="J13" s="36"/>
    </row>
    <row r="14" spans="1:10" s="10" customFormat="1" ht="15.75" x14ac:dyDescent="0.25">
      <c r="A14" s="19"/>
      <c r="B14" s="33" t="s">
        <v>45</v>
      </c>
      <c r="C14" s="38">
        <v>66000</v>
      </c>
      <c r="D14" s="8"/>
      <c r="E14" s="28">
        <f t="shared" si="0"/>
        <v>6130800</v>
      </c>
      <c r="F14"/>
      <c r="G14" s="45"/>
      <c r="H14" s="36"/>
      <c r="I14" s="36"/>
      <c r="J14" s="46"/>
    </row>
    <row r="15" spans="1:10" s="10" customFormat="1" ht="15.75" x14ac:dyDescent="0.25">
      <c r="A15" s="19"/>
      <c r="B15" s="33" t="s">
        <v>46</v>
      </c>
      <c r="C15" s="38">
        <v>92000</v>
      </c>
      <c r="D15" s="8"/>
      <c r="E15" s="28">
        <f t="shared" si="0"/>
        <v>6222800</v>
      </c>
      <c r="F15"/>
      <c r="G15" s="45"/>
      <c r="H15" s="36"/>
      <c r="I15" s="36"/>
      <c r="J15" s="46"/>
    </row>
    <row r="16" spans="1:10" s="10" customFormat="1" ht="15.75" x14ac:dyDescent="0.25">
      <c r="A16" s="19"/>
      <c r="B16" s="33" t="s">
        <v>47</v>
      </c>
      <c r="C16" s="38">
        <v>46000</v>
      </c>
      <c r="D16" s="8"/>
      <c r="E16" s="28">
        <f t="shared" si="0"/>
        <v>6268800</v>
      </c>
      <c r="F16"/>
      <c r="G16" s="45"/>
      <c r="H16" s="36"/>
      <c r="I16" s="36"/>
      <c r="J16" s="46"/>
    </row>
    <row r="17" spans="1:10" s="10" customFormat="1" ht="15.75" x14ac:dyDescent="0.25">
      <c r="A17" s="19"/>
      <c r="B17" s="15" t="s">
        <v>48</v>
      </c>
      <c r="C17" s="38">
        <v>92000</v>
      </c>
      <c r="D17" s="8"/>
      <c r="E17" s="28">
        <f t="shared" si="0"/>
        <v>6360800</v>
      </c>
      <c r="F17"/>
      <c r="G17" s="45"/>
      <c r="H17" s="36"/>
      <c r="I17" s="36"/>
      <c r="J17" s="36"/>
    </row>
    <row r="18" spans="1:10" s="10" customFormat="1" ht="15.75" x14ac:dyDescent="0.25">
      <c r="A18" s="19"/>
      <c r="B18" s="33" t="s">
        <v>49</v>
      </c>
      <c r="C18" s="38">
        <v>46000</v>
      </c>
      <c r="D18" s="8"/>
      <c r="E18" s="28">
        <f t="shared" si="0"/>
        <v>6406800</v>
      </c>
      <c r="F18"/>
      <c r="G18" s="45"/>
      <c r="H18" s="36"/>
      <c r="I18" s="36"/>
      <c r="J18" s="36"/>
    </row>
    <row r="19" spans="1:10" s="10" customFormat="1" ht="15.75" x14ac:dyDescent="0.25">
      <c r="A19" s="19"/>
      <c r="B19" s="33" t="s">
        <v>50</v>
      </c>
      <c r="C19" s="38">
        <v>46000</v>
      </c>
      <c r="D19" s="8"/>
      <c r="E19" s="28">
        <f t="shared" si="0"/>
        <v>6452800</v>
      </c>
      <c r="F19"/>
      <c r="G19" s="45"/>
      <c r="H19" s="36"/>
      <c r="I19" s="36"/>
      <c r="J19" s="46"/>
    </row>
    <row r="20" spans="1:10" x14ac:dyDescent="0.25">
      <c r="A20" s="19"/>
      <c r="B20" s="33" t="s">
        <v>51</v>
      </c>
      <c r="C20" s="38">
        <v>45000</v>
      </c>
      <c r="D20" s="8"/>
      <c r="E20" s="28">
        <f t="shared" si="0"/>
        <v>6497800</v>
      </c>
    </row>
    <row r="21" spans="1:10" x14ac:dyDescent="0.25">
      <c r="A21" s="19"/>
      <c r="B21" s="33" t="s">
        <v>52</v>
      </c>
      <c r="C21" s="38">
        <v>20000</v>
      </c>
      <c r="D21" s="8"/>
      <c r="E21" s="28">
        <f t="shared" si="0"/>
        <v>6517800</v>
      </c>
    </row>
    <row r="22" spans="1:10" x14ac:dyDescent="0.25">
      <c r="A22" s="19"/>
      <c r="B22" s="32" t="s">
        <v>53</v>
      </c>
      <c r="C22" s="7">
        <v>286000</v>
      </c>
      <c r="D22" s="8"/>
      <c r="E22" s="28">
        <f t="shared" si="0"/>
        <v>6803800</v>
      </c>
    </row>
    <row r="23" spans="1:10" x14ac:dyDescent="0.25">
      <c r="A23" s="19"/>
      <c r="B23" s="32" t="s">
        <v>54</v>
      </c>
      <c r="C23" s="7">
        <v>166000</v>
      </c>
      <c r="D23" s="8"/>
      <c r="E23" s="28">
        <f>(E22+C23)-D23</f>
        <v>6969800</v>
      </c>
    </row>
    <row r="24" spans="1:10" x14ac:dyDescent="0.25">
      <c r="A24" s="19"/>
      <c r="B24" s="32" t="s">
        <v>55</v>
      </c>
      <c r="C24" s="7">
        <v>92000</v>
      </c>
      <c r="D24" s="8"/>
      <c r="E24" s="28">
        <f>(E23+C24)-D24</f>
        <v>7061800</v>
      </c>
    </row>
    <row r="25" spans="1:10" x14ac:dyDescent="0.25">
      <c r="A25" s="19"/>
      <c r="B25" s="32" t="s">
        <v>56</v>
      </c>
      <c r="C25" s="7">
        <v>92000</v>
      </c>
      <c r="D25" s="8"/>
      <c r="E25" s="28">
        <f>(E24+C25)-D25</f>
        <v>7153800</v>
      </c>
    </row>
    <row r="26" spans="1:10" x14ac:dyDescent="0.25">
      <c r="A26" s="19"/>
      <c r="B26" s="32" t="s">
        <v>57</v>
      </c>
      <c r="C26" s="7"/>
      <c r="D26" s="8">
        <v>50000</v>
      </c>
      <c r="E26" s="28">
        <f t="shared" ref="E26:E32" si="1">(E25+C26)-D26</f>
        <v>7103800</v>
      </c>
    </row>
    <row r="27" spans="1:10" x14ac:dyDescent="0.25">
      <c r="A27" s="19"/>
      <c r="B27" s="32" t="s">
        <v>58</v>
      </c>
      <c r="C27" s="7"/>
      <c r="D27" s="8">
        <v>2251622</v>
      </c>
      <c r="E27" s="28">
        <f t="shared" si="1"/>
        <v>4852178</v>
      </c>
    </row>
    <row r="28" spans="1:10" x14ac:dyDescent="0.25">
      <c r="A28" s="19"/>
      <c r="B28" s="32" t="s">
        <v>59</v>
      </c>
      <c r="C28" s="7"/>
      <c r="D28" s="8">
        <v>16500</v>
      </c>
      <c r="E28" s="28">
        <f t="shared" si="1"/>
        <v>4835678</v>
      </c>
    </row>
    <row r="29" spans="1:10" x14ac:dyDescent="0.25">
      <c r="A29" s="19"/>
      <c r="B29" s="15" t="s">
        <v>60</v>
      </c>
      <c r="C29" s="7"/>
      <c r="D29" s="8">
        <v>200000</v>
      </c>
      <c r="E29" s="28">
        <f t="shared" si="1"/>
        <v>4635678</v>
      </c>
    </row>
    <row r="30" spans="1:10" x14ac:dyDescent="0.25">
      <c r="A30" s="19"/>
      <c r="B30" s="15" t="s">
        <v>61</v>
      </c>
      <c r="C30" s="7"/>
      <c r="D30" s="8">
        <v>250000</v>
      </c>
      <c r="E30" s="28">
        <f t="shared" si="1"/>
        <v>4385678</v>
      </c>
      <c r="F30" s="40"/>
    </row>
    <row r="31" spans="1:10" x14ac:dyDescent="0.25">
      <c r="A31" s="19"/>
      <c r="B31" s="15" t="s">
        <v>62</v>
      </c>
      <c r="C31" s="7">
        <v>128800</v>
      </c>
      <c r="D31" s="8"/>
      <c r="E31" s="28">
        <f t="shared" si="1"/>
        <v>4514478</v>
      </c>
    </row>
    <row r="32" spans="1:10" x14ac:dyDescent="0.25">
      <c r="A32" s="19"/>
      <c r="B32" s="15" t="s">
        <v>63</v>
      </c>
      <c r="C32" s="7">
        <v>20000</v>
      </c>
      <c r="D32" s="8"/>
      <c r="E32" s="28">
        <f t="shared" si="1"/>
        <v>4534478</v>
      </c>
    </row>
    <row r="33" spans="1:8" ht="15.75" x14ac:dyDescent="0.25">
      <c r="A33" s="20"/>
      <c r="B33" s="21" t="s">
        <v>8</v>
      </c>
      <c r="C33" s="22">
        <f>SUM(C10:C32)</f>
        <v>1595800</v>
      </c>
      <c r="D33" s="22">
        <f>SUM(D9:D32)</f>
        <v>2768122</v>
      </c>
      <c r="E33" s="27">
        <f>E32</f>
        <v>4534478</v>
      </c>
    </row>
    <row r="34" spans="1:8" ht="15.75" x14ac:dyDescent="0.25">
      <c r="A34" s="20"/>
      <c r="B34" s="29"/>
      <c r="C34" s="30"/>
      <c r="D34" s="30"/>
      <c r="E34" s="31"/>
    </row>
    <row r="35" spans="1:8" ht="15.75" x14ac:dyDescent="0.25">
      <c r="A35" s="20"/>
      <c r="B35" s="29"/>
      <c r="C35" s="30"/>
      <c r="D35" s="30"/>
    </row>
    <row r="36" spans="1:8" ht="15.75" x14ac:dyDescent="0.25">
      <c r="A36" s="23"/>
      <c r="B36" s="25" t="s">
        <v>9</v>
      </c>
      <c r="C36" s="27">
        <f>E9</f>
        <v>5706800</v>
      </c>
      <c r="D36" s="24"/>
      <c r="E36" s="9"/>
    </row>
    <row r="37" spans="1:8" ht="15.75" x14ac:dyDescent="0.25">
      <c r="A37" s="23"/>
      <c r="B37" s="25" t="s">
        <v>5</v>
      </c>
      <c r="C37" s="14">
        <f>C33</f>
        <v>1595800</v>
      </c>
      <c r="D37" s="24"/>
    </row>
    <row r="38" spans="1:8" ht="15.75" x14ac:dyDescent="0.25">
      <c r="A38" s="23"/>
      <c r="B38" s="13" t="s">
        <v>64</v>
      </c>
      <c r="C38" s="12">
        <v>165</v>
      </c>
      <c r="D38" s="24"/>
    </row>
    <row r="39" spans="1:8" ht="15.75" x14ac:dyDescent="0.25">
      <c r="A39" s="23"/>
      <c r="B39" s="22" t="s">
        <v>11</v>
      </c>
      <c r="C39" s="22">
        <f>C36+C37</f>
        <v>7302600</v>
      </c>
      <c r="D39" s="24"/>
      <c r="H39" s="9"/>
    </row>
    <row r="40" spans="1:8" ht="15.75" x14ac:dyDescent="0.25">
      <c r="A40" s="23"/>
      <c r="B40" s="34" t="s">
        <v>6</v>
      </c>
      <c r="C40" s="14">
        <f>+D33</f>
        <v>2768122</v>
      </c>
      <c r="D40" s="24"/>
    </row>
    <row r="41" spans="1:8" ht="15.75" x14ac:dyDescent="0.25">
      <c r="B41" s="22" t="s">
        <v>12</v>
      </c>
      <c r="C41" s="22">
        <f>E33</f>
        <v>4534478</v>
      </c>
    </row>
    <row r="42" spans="1:8" ht="21" x14ac:dyDescent="0.35">
      <c r="C42" s="37"/>
    </row>
    <row r="43" spans="1:8" x14ac:dyDescent="0.25">
      <c r="E43" s="39"/>
    </row>
    <row r="44" spans="1:8" ht="21" x14ac:dyDescent="0.35">
      <c r="B44" s="11" t="s">
        <v>13</v>
      </c>
      <c r="C44" s="37"/>
    </row>
    <row r="45" spans="1:8" x14ac:dyDescent="0.25">
      <c r="B45" s="11" t="s">
        <v>14</v>
      </c>
    </row>
    <row r="46" spans="1:8" x14ac:dyDescent="0.25">
      <c r="B46" s="11"/>
    </row>
    <row r="47" spans="1:8" ht="21" x14ac:dyDescent="0.35">
      <c r="C47" s="37"/>
    </row>
  </sheetData>
  <mergeCells count="4">
    <mergeCell ref="B2:D2"/>
    <mergeCell ref="B3:D3"/>
    <mergeCell ref="B4:D4"/>
    <mergeCell ref="A6:E6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20020-D8DC-4AF3-BD52-8F46D2FD971B}">
  <dimension ref="A1:J47"/>
  <sheetViews>
    <sheetView zoomScale="89" zoomScaleNormal="100" workbookViewId="0">
      <selection activeCell="G10" sqref="G10:I13"/>
    </sheetView>
  </sheetViews>
  <sheetFormatPr baseColWidth="10" defaultColWidth="11.42578125" defaultRowHeight="15" x14ac:dyDescent="0.25"/>
  <cols>
    <col min="1" max="1" width="12.7109375" customWidth="1"/>
    <col min="2" max="2" width="58.28515625" customWidth="1"/>
    <col min="3" max="3" width="14.42578125" customWidth="1"/>
    <col min="4" max="4" width="14" customWidth="1"/>
    <col min="5" max="5" width="16" customWidth="1"/>
    <col min="6" max="6" width="14.85546875" customWidth="1"/>
    <col min="7" max="7" width="20" bestFit="1" customWidth="1"/>
    <col min="8" max="8" width="12.85546875" bestFit="1" customWidth="1"/>
    <col min="9" max="9" width="50.7109375" bestFit="1" customWidth="1"/>
  </cols>
  <sheetData>
    <row r="1" spans="1:10" x14ac:dyDescent="0.25">
      <c r="A1" s="1"/>
      <c r="B1" s="1"/>
      <c r="C1" s="1"/>
      <c r="D1" s="1"/>
    </row>
    <row r="2" spans="1:10" x14ac:dyDescent="0.25">
      <c r="A2" s="2"/>
      <c r="B2" s="78" t="s">
        <v>0</v>
      </c>
      <c r="C2" s="79"/>
      <c r="D2" s="80"/>
      <c r="E2" s="3"/>
    </row>
    <row r="3" spans="1:10" x14ac:dyDescent="0.25">
      <c r="A3" s="2"/>
      <c r="B3" s="81" t="s">
        <v>1</v>
      </c>
      <c r="C3" s="82"/>
      <c r="D3" s="83"/>
      <c r="E3" s="4"/>
    </row>
    <row r="4" spans="1:10" ht="19.5" customHeight="1" x14ac:dyDescent="0.25">
      <c r="A4" s="2"/>
      <c r="B4" s="84" t="s">
        <v>2</v>
      </c>
      <c r="C4" s="85"/>
      <c r="D4" s="86"/>
      <c r="E4" s="35"/>
    </row>
    <row r="5" spans="1:10" x14ac:dyDescent="0.25">
      <c r="A5" s="1"/>
      <c r="B5" s="1"/>
      <c r="C5" s="1"/>
      <c r="D5" s="1"/>
    </row>
    <row r="6" spans="1:10" s="5" customFormat="1" ht="20.25" customHeight="1" x14ac:dyDescent="0.3">
      <c r="A6" s="87" t="s">
        <v>66</v>
      </c>
      <c r="B6" s="88"/>
      <c r="C6" s="88"/>
      <c r="D6" s="88"/>
      <c r="E6" s="89"/>
      <c r="F6"/>
    </row>
    <row r="7" spans="1:10" x14ac:dyDescent="0.25">
      <c r="A7" s="1"/>
      <c r="B7" s="1"/>
      <c r="C7" s="1"/>
      <c r="D7" s="1"/>
    </row>
    <row r="8" spans="1:10" ht="24.75" customHeight="1" x14ac:dyDescent="0.25">
      <c r="A8" s="16" t="s">
        <v>3</v>
      </c>
      <c r="B8" s="16" t="s">
        <v>4</v>
      </c>
      <c r="C8" s="17" t="s">
        <v>5</v>
      </c>
      <c r="D8" s="18" t="s">
        <v>6</v>
      </c>
      <c r="E8" s="26" t="s">
        <v>7</v>
      </c>
    </row>
    <row r="9" spans="1:10" ht="15.75" x14ac:dyDescent="0.25">
      <c r="A9" s="19"/>
      <c r="B9" s="6" t="s">
        <v>9</v>
      </c>
      <c r="C9" s="7"/>
      <c r="D9" s="8"/>
      <c r="E9" s="22">
        <f>'CORTE MARZO 31-25'!C41</f>
        <v>4534478</v>
      </c>
    </row>
    <row r="10" spans="1:10" x14ac:dyDescent="0.25">
      <c r="A10" s="19"/>
      <c r="B10" s="42" t="s">
        <v>67</v>
      </c>
      <c r="C10" s="41">
        <v>153579.29999999999</v>
      </c>
      <c r="D10" s="7"/>
      <c r="E10" s="28">
        <f t="shared" ref="E10:E32" si="0">(E9+C10)-D10</f>
        <v>4688057.3</v>
      </c>
      <c r="G10" s="40"/>
      <c r="H10" s="51"/>
    </row>
    <row r="11" spans="1:10" x14ac:dyDescent="0.25">
      <c r="A11" s="19"/>
      <c r="B11" s="42" t="s">
        <v>87</v>
      </c>
      <c r="C11" s="41">
        <v>153579</v>
      </c>
      <c r="D11" s="7"/>
      <c r="E11" s="28">
        <f t="shared" si="0"/>
        <v>4841636.3</v>
      </c>
      <c r="G11" s="40"/>
      <c r="H11" s="54"/>
      <c r="I11" s="53"/>
    </row>
    <row r="12" spans="1:10" x14ac:dyDescent="0.25">
      <c r="A12" s="19"/>
      <c r="B12" s="44" t="s">
        <v>68</v>
      </c>
      <c r="C12" s="41">
        <v>92000</v>
      </c>
      <c r="D12" s="7"/>
      <c r="E12" s="28">
        <f t="shared" si="0"/>
        <v>4933636.3</v>
      </c>
      <c r="G12" s="40"/>
      <c r="H12" s="55"/>
    </row>
    <row r="13" spans="1:10" s="10" customFormat="1" ht="15.75" x14ac:dyDescent="0.25">
      <c r="A13" s="19"/>
      <c r="B13" s="44" t="s">
        <v>70</v>
      </c>
      <c r="C13" s="41">
        <v>46000</v>
      </c>
      <c r="D13" s="8"/>
      <c r="E13" s="28">
        <f t="shared" si="0"/>
        <v>4979636.3</v>
      </c>
      <c r="F13"/>
      <c r="G13" s="45"/>
      <c r="H13" s="36"/>
      <c r="I13" s="36"/>
      <c r="J13" s="36"/>
    </row>
    <row r="14" spans="1:10" s="10" customFormat="1" ht="15.75" x14ac:dyDescent="0.25">
      <c r="A14" s="19"/>
      <c r="B14" s="44" t="s">
        <v>71</v>
      </c>
      <c r="C14" s="41">
        <v>46000</v>
      </c>
      <c r="D14" s="8"/>
      <c r="E14" s="28">
        <f t="shared" si="0"/>
        <v>5025636.3</v>
      </c>
      <c r="F14"/>
      <c r="G14" s="45"/>
      <c r="H14" s="36"/>
      <c r="I14" s="36"/>
      <c r="J14" s="46"/>
    </row>
    <row r="15" spans="1:10" s="10" customFormat="1" ht="15.75" x14ac:dyDescent="0.25">
      <c r="A15" s="19"/>
      <c r="B15" s="44" t="s">
        <v>74</v>
      </c>
      <c r="C15" s="41">
        <v>46000</v>
      </c>
      <c r="E15" s="28">
        <f t="shared" si="0"/>
        <v>5071636.3</v>
      </c>
      <c r="F15"/>
      <c r="G15" s="45"/>
      <c r="H15" s="36"/>
      <c r="I15" s="36"/>
      <c r="J15" s="46"/>
    </row>
    <row r="16" spans="1:10" s="10" customFormat="1" ht="15.75" x14ac:dyDescent="0.25">
      <c r="A16" s="19"/>
      <c r="B16" s="47" t="s">
        <v>69</v>
      </c>
      <c r="C16" s="50">
        <v>72000</v>
      </c>
      <c r="D16" s="8"/>
      <c r="E16" s="28">
        <f t="shared" si="0"/>
        <v>5143636.3</v>
      </c>
      <c r="F16"/>
      <c r="G16" s="45"/>
      <c r="H16" s="36"/>
      <c r="I16" s="36"/>
      <c r="J16" s="46"/>
    </row>
    <row r="17" spans="1:10" s="10" customFormat="1" ht="15.75" x14ac:dyDescent="0.25">
      <c r="A17" s="19"/>
      <c r="B17" s="32" t="s">
        <v>72</v>
      </c>
      <c r="C17" s="38"/>
      <c r="D17" s="8">
        <v>438798</v>
      </c>
      <c r="E17" s="28">
        <f t="shared" si="0"/>
        <v>4704838.3</v>
      </c>
      <c r="F17"/>
      <c r="G17" s="45"/>
      <c r="H17" s="36"/>
      <c r="I17" s="36"/>
      <c r="J17" s="36"/>
    </row>
    <row r="18" spans="1:10" s="10" customFormat="1" ht="15.75" x14ac:dyDescent="0.25">
      <c r="A18" s="19"/>
      <c r="B18" s="15" t="s">
        <v>73</v>
      </c>
      <c r="C18" s="38"/>
      <c r="D18" s="8">
        <v>772284.48</v>
      </c>
      <c r="E18" s="28">
        <f t="shared" si="0"/>
        <v>3932553.82</v>
      </c>
      <c r="F18"/>
      <c r="G18" s="45"/>
      <c r="H18" s="36"/>
      <c r="I18" s="36"/>
      <c r="J18" s="36"/>
    </row>
    <row r="19" spans="1:10" s="10" customFormat="1" ht="15.75" x14ac:dyDescent="0.25">
      <c r="A19" s="19"/>
      <c r="B19" s="48" t="s">
        <v>59</v>
      </c>
      <c r="C19" s="38"/>
      <c r="D19" s="8">
        <v>16500</v>
      </c>
      <c r="E19" s="28">
        <f t="shared" si="0"/>
        <v>3916053.82</v>
      </c>
      <c r="F19"/>
      <c r="G19" s="45"/>
      <c r="H19" s="36"/>
      <c r="I19" s="36"/>
      <c r="J19" s="46"/>
    </row>
    <row r="20" spans="1:10" x14ac:dyDescent="0.25">
      <c r="A20" s="19"/>
      <c r="B20" s="32" t="s">
        <v>75</v>
      </c>
      <c r="C20" s="7">
        <v>655050</v>
      </c>
      <c r="D20" s="8"/>
      <c r="E20" s="28">
        <f t="shared" si="0"/>
        <v>4571103.82</v>
      </c>
    </row>
    <row r="21" spans="1:10" x14ac:dyDescent="0.25">
      <c r="A21" s="19"/>
      <c r="B21" s="32" t="s">
        <v>80</v>
      </c>
      <c r="C21" s="7"/>
      <c r="D21" s="8">
        <v>16500</v>
      </c>
      <c r="E21" s="28">
        <f t="shared" si="0"/>
        <v>4554603.82</v>
      </c>
    </row>
    <row r="22" spans="1:10" x14ac:dyDescent="0.25">
      <c r="A22" s="19"/>
      <c r="B22" s="32" t="s">
        <v>78</v>
      </c>
      <c r="C22" s="7">
        <v>480000</v>
      </c>
      <c r="D22" s="8"/>
      <c r="E22" s="28">
        <f t="shared" si="0"/>
        <v>5034603.82</v>
      </c>
    </row>
    <row r="23" spans="1:10" x14ac:dyDescent="0.25">
      <c r="A23" s="19"/>
      <c r="B23" s="32" t="s">
        <v>79</v>
      </c>
      <c r="C23" s="7">
        <v>20000</v>
      </c>
      <c r="D23" s="8"/>
      <c r="E23" s="28">
        <f t="shared" si="0"/>
        <v>5054603.82</v>
      </c>
    </row>
    <row r="24" spans="1:10" x14ac:dyDescent="0.25">
      <c r="A24" s="19"/>
      <c r="B24" s="15"/>
      <c r="C24" s="50"/>
      <c r="D24" s="52"/>
      <c r="E24" s="28">
        <f t="shared" si="0"/>
        <v>5054603.82</v>
      </c>
    </row>
    <row r="25" spans="1:10" x14ac:dyDescent="0.25">
      <c r="A25" s="19"/>
      <c r="B25" s="15"/>
      <c r="C25" s="15"/>
      <c r="D25" s="15"/>
      <c r="E25" s="28">
        <f t="shared" si="0"/>
        <v>5054603.82</v>
      </c>
    </row>
    <row r="26" spans="1:10" x14ac:dyDescent="0.25">
      <c r="A26" s="19"/>
      <c r="B26" s="15"/>
      <c r="C26" s="15"/>
      <c r="D26" s="15"/>
      <c r="E26" s="28">
        <f t="shared" si="0"/>
        <v>5054603.82</v>
      </c>
    </row>
    <row r="27" spans="1:10" x14ac:dyDescent="0.25">
      <c r="A27" s="19"/>
      <c r="B27" s="32"/>
      <c r="C27" s="7"/>
      <c r="D27" s="8"/>
      <c r="E27" s="28">
        <f t="shared" si="0"/>
        <v>5054603.82</v>
      </c>
    </row>
    <row r="28" spans="1:10" x14ac:dyDescent="0.25">
      <c r="A28" s="19"/>
      <c r="B28" s="32"/>
      <c r="C28" s="7"/>
      <c r="D28" s="8"/>
      <c r="E28" s="28">
        <f t="shared" si="0"/>
        <v>5054603.82</v>
      </c>
    </row>
    <row r="29" spans="1:10" x14ac:dyDescent="0.25">
      <c r="A29" s="19"/>
      <c r="B29" s="15"/>
      <c r="C29" s="7"/>
      <c r="D29" s="8"/>
      <c r="E29" s="28">
        <f t="shared" si="0"/>
        <v>5054603.82</v>
      </c>
    </row>
    <row r="30" spans="1:10" x14ac:dyDescent="0.25">
      <c r="A30" s="19"/>
      <c r="B30" s="15"/>
      <c r="C30" s="7"/>
      <c r="D30" s="8"/>
      <c r="E30" s="28">
        <f t="shared" si="0"/>
        <v>5054603.82</v>
      </c>
      <c r="F30" s="40"/>
    </row>
    <row r="31" spans="1:10" x14ac:dyDescent="0.25">
      <c r="A31" s="19"/>
      <c r="B31" s="15"/>
      <c r="C31" s="7"/>
      <c r="D31" s="8"/>
      <c r="E31" s="28">
        <f t="shared" si="0"/>
        <v>5054603.82</v>
      </c>
    </row>
    <row r="32" spans="1:10" x14ac:dyDescent="0.25">
      <c r="A32" s="19"/>
      <c r="B32" s="15"/>
      <c r="C32" s="7"/>
      <c r="D32" s="8"/>
      <c r="E32" s="28">
        <f t="shared" si="0"/>
        <v>5054603.82</v>
      </c>
    </row>
    <row r="33" spans="1:8" ht="15.75" x14ac:dyDescent="0.25">
      <c r="A33" s="20"/>
      <c r="B33" s="21" t="s">
        <v>8</v>
      </c>
      <c r="C33" s="22">
        <f>SUM(C10:C32)</f>
        <v>1764208.3</v>
      </c>
      <c r="D33" s="22">
        <f>SUM(D9:D32)</f>
        <v>1244082.48</v>
      </c>
      <c r="E33" s="27">
        <f>E32</f>
        <v>5054603.82</v>
      </c>
    </row>
    <row r="34" spans="1:8" ht="15.75" x14ac:dyDescent="0.25">
      <c r="A34" s="20"/>
      <c r="B34" s="29"/>
      <c r="C34" s="30"/>
      <c r="D34" s="30"/>
      <c r="E34" s="31"/>
    </row>
    <row r="35" spans="1:8" ht="15.75" x14ac:dyDescent="0.25">
      <c r="A35" s="20"/>
      <c r="B35" s="29"/>
      <c r="C35" s="30"/>
      <c r="D35" s="30"/>
    </row>
    <row r="36" spans="1:8" ht="15.75" x14ac:dyDescent="0.25">
      <c r="A36" s="23"/>
      <c r="B36" s="25" t="s">
        <v>9</v>
      </c>
      <c r="C36" s="27">
        <f>E9</f>
        <v>4534478</v>
      </c>
      <c r="D36" s="24"/>
      <c r="E36" s="9"/>
    </row>
    <row r="37" spans="1:8" ht="15.75" x14ac:dyDescent="0.25">
      <c r="A37" s="23"/>
      <c r="B37" s="25" t="s">
        <v>5</v>
      </c>
      <c r="C37" s="14">
        <f>C33</f>
        <v>1764208.3</v>
      </c>
      <c r="D37" s="24"/>
    </row>
    <row r="38" spans="1:8" ht="15.75" x14ac:dyDescent="0.25">
      <c r="A38" s="23"/>
      <c r="B38" s="13" t="s">
        <v>64</v>
      </c>
      <c r="C38" s="12"/>
      <c r="D38" s="24"/>
    </row>
    <row r="39" spans="1:8" ht="15.75" x14ac:dyDescent="0.25">
      <c r="A39" s="23"/>
      <c r="B39" s="22" t="s">
        <v>11</v>
      </c>
      <c r="C39" s="22">
        <f>C36+C37</f>
        <v>6298686.2999999998</v>
      </c>
      <c r="D39" s="24" t="s">
        <v>81</v>
      </c>
      <c r="H39" s="9"/>
    </row>
    <row r="40" spans="1:8" ht="15.75" x14ac:dyDescent="0.25">
      <c r="A40" s="23"/>
      <c r="B40" s="34" t="s">
        <v>6</v>
      </c>
      <c r="C40" s="14">
        <f>+D33</f>
        <v>1244082.48</v>
      </c>
      <c r="D40" s="24"/>
    </row>
    <row r="41" spans="1:8" ht="15.75" x14ac:dyDescent="0.25">
      <c r="B41" s="22" t="s">
        <v>12</v>
      </c>
      <c r="C41" s="22">
        <f>E33-H11</f>
        <v>5054603.82</v>
      </c>
    </row>
    <row r="42" spans="1:8" ht="21" x14ac:dyDescent="0.35">
      <c r="C42" s="37"/>
    </row>
    <row r="43" spans="1:8" x14ac:dyDescent="0.25">
      <c r="E43" s="39"/>
    </row>
    <row r="44" spans="1:8" ht="21" x14ac:dyDescent="0.35">
      <c r="B44" s="11" t="s">
        <v>76</v>
      </c>
      <c r="C44" s="37"/>
    </row>
    <row r="45" spans="1:8" x14ac:dyDescent="0.25">
      <c r="B45" s="11" t="s">
        <v>77</v>
      </c>
    </row>
    <row r="46" spans="1:8" x14ac:dyDescent="0.25">
      <c r="B46" s="11"/>
    </row>
    <row r="47" spans="1:8" ht="21" x14ac:dyDescent="0.35">
      <c r="C47" s="37"/>
    </row>
  </sheetData>
  <mergeCells count="4">
    <mergeCell ref="B2:D2"/>
    <mergeCell ref="B3:D3"/>
    <mergeCell ref="B4:D4"/>
    <mergeCell ref="A6:E6"/>
  </mergeCells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50345-CB9F-419D-B502-802DA86CB771}">
  <dimension ref="A1:J47"/>
  <sheetViews>
    <sheetView topLeftCell="A4" zoomScaleNormal="100" workbookViewId="0">
      <selection activeCell="I18" sqref="I18"/>
    </sheetView>
  </sheetViews>
  <sheetFormatPr baseColWidth="10" defaultColWidth="11.42578125" defaultRowHeight="15" x14ac:dyDescent="0.25"/>
  <cols>
    <col min="1" max="1" width="12.7109375" customWidth="1"/>
    <col min="2" max="2" width="67.140625" bestFit="1" customWidth="1"/>
    <col min="3" max="3" width="14.42578125" customWidth="1"/>
    <col min="4" max="4" width="14" customWidth="1"/>
    <col min="5" max="5" width="16" customWidth="1"/>
    <col min="6" max="6" width="14.85546875" customWidth="1"/>
    <col min="7" max="7" width="22.85546875" bestFit="1" customWidth="1"/>
    <col min="8" max="8" width="13.28515625" bestFit="1" customWidth="1"/>
  </cols>
  <sheetData>
    <row r="1" spans="1:10" x14ac:dyDescent="0.25">
      <c r="A1" s="1"/>
      <c r="B1" s="1"/>
      <c r="C1" s="1"/>
      <c r="D1" s="1"/>
      <c r="H1" t="s">
        <v>91</v>
      </c>
    </row>
    <row r="2" spans="1:10" x14ac:dyDescent="0.25">
      <c r="A2" s="2"/>
      <c r="B2" s="78" t="s">
        <v>0</v>
      </c>
      <c r="C2" s="79"/>
      <c r="D2" s="80"/>
      <c r="E2" s="3"/>
    </row>
    <row r="3" spans="1:10" x14ac:dyDescent="0.25">
      <c r="A3" s="2"/>
      <c r="B3" s="81" t="s">
        <v>1</v>
      </c>
      <c r="C3" s="82"/>
      <c r="D3" s="83"/>
      <c r="E3" s="4"/>
    </row>
    <row r="4" spans="1:10" ht="19.5" customHeight="1" x14ac:dyDescent="0.25">
      <c r="A4" s="2"/>
      <c r="B4" s="84" t="s">
        <v>2</v>
      </c>
      <c r="C4" s="85"/>
      <c r="D4" s="86"/>
      <c r="E4" s="35"/>
    </row>
    <row r="5" spans="1:10" x14ac:dyDescent="0.25">
      <c r="A5" s="1"/>
      <c r="B5" s="1"/>
      <c r="C5" s="1"/>
      <c r="D5" s="1"/>
    </row>
    <row r="6" spans="1:10" s="5" customFormat="1" ht="20.25" customHeight="1" x14ac:dyDescent="0.3">
      <c r="A6" s="87" t="s">
        <v>82</v>
      </c>
      <c r="B6" s="88"/>
      <c r="C6" s="88"/>
      <c r="D6" s="88"/>
      <c r="E6" s="89"/>
      <c r="F6"/>
    </row>
    <row r="7" spans="1:10" x14ac:dyDescent="0.25">
      <c r="A7" s="1"/>
      <c r="B7" s="1"/>
      <c r="C7" s="1"/>
      <c r="D7" s="1"/>
    </row>
    <row r="8" spans="1:10" ht="24.75" customHeight="1" x14ac:dyDescent="0.25">
      <c r="A8" s="16" t="s">
        <v>3</v>
      </c>
      <c r="B8" s="16" t="s">
        <v>4</v>
      </c>
      <c r="C8" s="17" t="s">
        <v>5</v>
      </c>
      <c r="D8" s="18" t="s">
        <v>6</v>
      </c>
      <c r="E8" s="26" t="s">
        <v>7</v>
      </c>
    </row>
    <row r="9" spans="1:10" ht="15.75" x14ac:dyDescent="0.25">
      <c r="A9" s="19"/>
      <c r="B9" s="6" t="s">
        <v>9</v>
      </c>
      <c r="C9" s="7"/>
      <c r="D9" s="8"/>
      <c r="E9" s="22">
        <f>'CORTE ABRIL 30-25 '!C41</f>
        <v>5054603.82</v>
      </c>
      <c r="G9" s="90"/>
      <c r="H9" s="91"/>
    </row>
    <row r="10" spans="1:10" x14ac:dyDescent="0.25">
      <c r="A10" s="19"/>
      <c r="B10" s="42" t="s">
        <v>86</v>
      </c>
      <c r="C10" s="41">
        <v>153579</v>
      </c>
      <c r="D10" s="7"/>
      <c r="E10" s="28">
        <f>(E9)-D10</f>
        <v>5054603.82</v>
      </c>
      <c r="G10" s="90"/>
      <c r="H10" s="91"/>
    </row>
    <row r="11" spans="1:10" x14ac:dyDescent="0.25">
      <c r="A11" s="61"/>
      <c r="B11" s="62" t="s">
        <v>84</v>
      </c>
      <c r="C11" s="50"/>
      <c r="D11" s="8">
        <v>90000</v>
      </c>
      <c r="E11" s="28">
        <f>(E10+C11)-D11</f>
        <v>4964603.82</v>
      </c>
      <c r="G11" s="92"/>
      <c r="H11" s="91"/>
    </row>
    <row r="12" spans="1:10" x14ac:dyDescent="0.25">
      <c r="A12" s="65"/>
      <c r="B12" s="48" t="s">
        <v>88</v>
      </c>
      <c r="C12" s="58">
        <v>60000</v>
      </c>
      <c r="D12" s="8"/>
      <c r="E12" s="28">
        <f>(E11+C12)-D12</f>
        <v>5024603.82</v>
      </c>
      <c r="G12" s="90"/>
      <c r="H12" s="91"/>
    </row>
    <row r="13" spans="1:10" s="10" customFormat="1" ht="15.75" x14ac:dyDescent="0.25">
      <c r="A13" s="65"/>
      <c r="B13" s="32" t="s">
        <v>92</v>
      </c>
      <c r="C13" s="59"/>
      <c r="D13" s="8">
        <v>16500</v>
      </c>
      <c r="E13" s="28">
        <f t="shared" ref="E13:E31" si="0">(E12+C13)-D13</f>
        <v>5008103.82</v>
      </c>
      <c r="F13"/>
      <c r="G13" s="93"/>
      <c r="H13" s="94"/>
      <c r="I13" s="36"/>
      <c r="J13" s="36"/>
    </row>
    <row r="14" spans="1:10" s="10" customFormat="1" ht="15.75" x14ac:dyDescent="0.25">
      <c r="A14" s="65"/>
      <c r="B14" s="47"/>
      <c r="C14" s="58"/>
      <c r="D14" s="8"/>
      <c r="E14" s="28">
        <f t="shared" si="0"/>
        <v>5008103.82</v>
      </c>
      <c r="F14"/>
      <c r="G14" s="45"/>
      <c r="H14" s="36"/>
      <c r="I14" s="36"/>
      <c r="J14" s="46"/>
    </row>
    <row r="15" spans="1:10" s="10" customFormat="1" ht="15.75" x14ac:dyDescent="0.25">
      <c r="A15" s="65"/>
      <c r="B15" s="66"/>
      <c r="E15" s="28">
        <f t="shared" si="0"/>
        <v>5008103.82</v>
      </c>
      <c r="F15"/>
      <c r="G15" s="45"/>
      <c r="H15" s="36"/>
      <c r="I15" s="36"/>
      <c r="J15" s="46"/>
    </row>
    <row r="16" spans="1:10" s="10" customFormat="1" ht="15.75" x14ac:dyDescent="0.25">
      <c r="A16" s="65"/>
      <c r="B16" s="32"/>
      <c r="C16" s="60"/>
      <c r="D16" s="8"/>
      <c r="E16" s="28">
        <f t="shared" si="0"/>
        <v>5008103.82</v>
      </c>
      <c r="F16"/>
      <c r="G16" s="45"/>
      <c r="H16" s="36"/>
      <c r="I16" s="36"/>
      <c r="J16" s="46"/>
    </row>
    <row r="17" spans="1:10" s="10" customFormat="1" ht="15.75" x14ac:dyDescent="0.25">
      <c r="A17" s="65"/>
      <c r="B17" s="15"/>
      <c r="C17" s="60"/>
      <c r="D17" s="8"/>
      <c r="E17" s="28">
        <f t="shared" si="0"/>
        <v>5008103.82</v>
      </c>
      <c r="F17"/>
      <c r="G17" s="45"/>
      <c r="H17" s="36"/>
      <c r="I17" s="36"/>
      <c r="J17" s="36"/>
    </row>
    <row r="18" spans="1:10" s="10" customFormat="1" ht="15.75" x14ac:dyDescent="0.25">
      <c r="A18" s="65"/>
      <c r="B18" s="47"/>
      <c r="C18" s="60"/>
      <c r="D18" s="8"/>
      <c r="E18" s="28">
        <f t="shared" si="0"/>
        <v>5008103.82</v>
      </c>
      <c r="F18"/>
      <c r="G18" s="45"/>
      <c r="H18" s="36"/>
      <c r="I18" s="36"/>
      <c r="J18" s="36"/>
    </row>
    <row r="19" spans="1:10" s="10" customFormat="1" ht="15.75" x14ac:dyDescent="0.25">
      <c r="A19" s="65"/>
      <c r="B19" s="48"/>
      <c r="C19" s="60"/>
      <c r="D19" s="8"/>
      <c r="E19" s="28">
        <f t="shared" si="0"/>
        <v>5008103.82</v>
      </c>
      <c r="F19"/>
      <c r="G19" s="45"/>
      <c r="H19" s="36"/>
      <c r="I19" s="36"/>
      <c r="J19" s="46"/>
    </row>
    <row r="20" spans="1:10" x14ac:dyDescent="0.25">
      <c r="A20" s="63"/>
      <c r="B20" s="64"/>
      <c r="C20" s="38"/>
      <c r="D20" s="8"/>
      <c r="E20" s="28">
        <f t="shared" si="0"/>
        <v>5008103.82</v>
      </c>
    </row>
    <row r="21" spans="1:10" x14ac:dyDescent="0.25">
      <c r="A21" s="19"/>
      <c r="B21" s="49"/>
      <c r="C21" s="38"/>
      <c r="D21" s="8"/>
      <c r="E21" s="28">
        <f t="shared" si="0"/>
        <v>5008103.82</v>
      </c>
    </row>
    <row r="22" spans="1:10" x14ac:dyDescent="0.25">
      <c r="A22" s="19"/>
      <c r="B22" s="32"/>
      <c r="C22" s="7"/>
      <c r="D22" s="8"/>
      <c r="E22" s="28">
        <f t="shared" si="0"/>
        <v>5008103.82</v>
      </c>
    </row>
    <row r="23" spans="1:10" x14ac:dyDescent="0.25">
      <c r="A23" s="19"/>
      <c r="B23" s="32"/>
      <c r="C23" s="7"/>
      <c r="D23" s="8"/>
      <c r="E23" s="28">
        <f t="shared" si="0"/>
        <v>5008103.82</v>
      </c>
    </row>
    <row r="24" spans="1:10" x14ac:dyDescent="0.25">
      <c r="A24" s="19"/>
      <c r="B24" s="32"/>
      <c r="C24" s="7"/>
      <c r="D24" s="8"/>
      <c r="E24" s="28">
        <f t="shared" si="0"/>
        <v>5008103.82</v>
      </c>
    </row>
    <row r="25" spans="1:10" x14ac:dyDescent="0.25">
      <c r="A25" s="19"/>
      <c r="B25" s="32"/>
      <c r="C25" s="7"/>
      <c r="D25" s="8"/>
      <c r="E25" s="28">
        <f t="shared" si="0"/>
        <v>5008103.82</v>
      </c>
    </row>
    <row r="26" spans="1:10" x14ac:dyDescent="0.25">
      <c r="A26" s="19"/>
      <c r="B26" s="48"/>
      <c r="C26" s="7"/>
      <c r="D26" s="8"/>
      <c r="E26" s="28">
        <f t="shared" si="0"/>
        <v>5008103.82</v>
      </c>
    </row>
    <row r="27" spans="1:10" x14ac:dyDescent="0.25">
      <c r="A27" s="19"/>
      <c r="B27" s="32"/>
      <c r="C27" s="7"/>
      <c r="D27" s="8"/>
      <c r="E27" s="28">
        <f t="shared" si="0"/>
        <v>5008103.82</v>
      </c>
    </row>
    <row r="28" spans="1:10" x14ac:dyDescent="0.25">
      <c r="A28" s="19"/>
      <c r="B28" s="32"/>
      <c r="C28" s="7"/>
      <c r="D28" s="8"/>
      <c r="E28" s="28">
        <f t="shared" si="0"/>
        <v>5008103.82</v>
      </c>
    </row>
    <row r="29" spans="1:10" x14ac:dyDescent="0.25">
      <c r="A29" s="19"/>
      <c r="B29" s="15"/>
      <c r="C29" s="7"/>
      <c r="D29" s="8"/>
      <c r="E29" s="28">
        <f t="shared" si="0"/>
        <v>5008103.82</v>
      </c>
    </row>
    <row r="30" spans="1:10" x14ac:dyDescent="0.25">
      <c r="A30" s="19"/>
      <c r="B30" s="15"/>
      <c r="C30" s="7"/>
      <c r="D30" s="8"/>
      <c r="E30" s="28">
        <f t="shared" si="0"/>
        <v>5008103.82</v>
      </c>
      <c r="F30" s="40"/>
    </row>
    <row r="31" spans="1:10" x14ac:dyDescent="0.25">
      <c r="A31" s="19"/>
      <c r="B31" s="15"/>
      <c r="C31" s="7"/>
      <c r="D31" s="8"/>
      <c r="E31" s="28">
        <f t="shared" si="0"/>
        <v>5008103.82</v>
      </c>
    </row>
    <row r="32" spans="1:10" x14ac:dyDescent="0.25">
      <c r="A32" s="19"/>
      <c r="B32" s="15"/>
      <c r="C32" s="7"/>
      <c r="D32" s="8"/>
      <c r="E32" s="28">
        <f>(E31+C32)-D32</f>
        <v>5008103.82</v>
      </c>
    </row>
    <row r="33" spans="1:8" ht="15.75" x14ac:dyDescent="0.25">
      <c r="A33" s="20"/>
      <c r="B33" s="21" t="s">
        <v>8</v>
      </c>
      <c r="C33" s="22">
        <f>SUM(C11:C32)</f>
        <v>60000</v>
      </c>
      <c r="D33" s="22">
        <f>SUM(D9:D32)</f>
        <v>106500</v>
      </c>
      <c r="E33" s="27">
        <f>E32</f>
        <v>5008103.82</v>
      </c>
    </row>
    <row r="34" spans="1:8" ht="15.75" x14ac:dyDescent="0.25">
      <c r="A34" s="20"/>
      <c r="B34" s="29"/>
      <c r="C34" s="30"/>
      <c r="D34" s="30"/>
      <c r="E34" s="31"/>
    </row>
    <row r="35" spans="1:8" ht="15.75" x14ac:dyDescent="0.25">
      <c r="A35" s="20"/>
      <c r="B35" s="29"/>
      <c r="C35" s="30"/>
      <c r="D35" s="30"/>
    </row>
    <row r="36" spans="1:8" ht="15.75" x14ac:dyDescent="0.25">
      <c r="A36" s="23"/>
      <c r="B36" s="25" t="s">
        <v>9</v>
      </c>
      <c r="C36" s="27">
        <f>E9</f>
        <v>5054603.82</v>
      </c>
      <c r="D36" s="24"/>
      <c r="E36" s="9"/>
    </row>
    <row r="37" spans="1:8" ht="15.75" x14ac:dyDescent="0.25">
      <c r="A37" s="23"/>
      <c r="B37" s="25" t="s">
        <v>5</v>
      </c>
      <c r="C37" s="14">
        <f>C33</f>
        <v>60000</v>
      </c>
      <c r="D37" s="24"/>
    </row>
    <row r="38" spans="1:8" ht="15.75" x14ac:dyDescent="0.25">
      <c r="A38" s="23"/>
      <c r="B38" s="13" t="s">
        <v>64</v>
      </c>
      <c r="C38" s="12"/>
      <c r="D38" s="24"/>
    </row>
    <row r="39" spans="1:8" ht="15.75" x14ac:dyDescent="0.25">
      <c r="A39" s="23"/>
      <c r="B39" s="22" t="s">
        <v>11</v>
      </c>
      <c r="C39" s="22">
        <f>C36+C37</f>
        <v>5114603.82</v>
      </c>
      <c r="D39" s="24" t="s">
        <v>81</v>
      </c>
      <c r="H39" s="9"/>
    </row>
    <row r="40" spans="1:8" ht="15.75" x14ac:dyDescent="0.25">
      <c r="A40" s="23"/>
      <c r="B40" s="34" t="s">
        <v>6</v>
      </c>
      <c r="C40" s="14">
        <f>+D33</f>
        <v>106500</v>
      </c>
      <c r="D40" s="24"/>
    </row>
    <row r="41" spans="1:8" ht="15.75" x14ac:dyDescent="0.25">
      <c r="B41" s="22" t="s">
        <v>12</v>
      </c>
      <c r="C41" s="22">
        <f>E33</f>
        <v>5008103.82</v>
      </c>
    </row>
    <row r="42" spans="1:8" ht="21" x14ac:dyDescent="0.35">
      <c r="C42" s="37"/>
    </row>
    <row r="43" spans="1:8" x14ac:dyDescent="0.25">
      <c r="E43" s="39"/>
    </row>
    <row r="44" spans="1:8" ht="21" x14ac:dyDescent="0.35">
      <c r="B44" s="11" t="s">
        <v>85</v>
      </c>
      <c r="C44" s="37"/>
    </row>
    <row r="45" spans="1:8" x14ac:dyDescent="0.25">
      <c r="B45" s="11" t="s">
        <v>77</v>
      </c>
    </row>
    <row r="46" spans="1:8" x14ac:dyDescent="0.25">
      <c r="B46" s="11"/>
    </row>
    <row r="47" spans="1:8" ht="21" x14ac:dyDescent="0.35">
      <c r="C47" s="37"/>
    </row>
  </sheetData>
  <mergeCells count="4">
    <mergeCell ref="B2:D2"/>
    <mergeCell ref="B3:D3"/>
    <mergeCell ref="B4:D4"/>
    <mergeCell ref="A6:E6"/>
  </mergeCells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9827B2-2887-41FE-AD4B-54983708DFCD}">
  <dimension ref="A1:M47"/>
  <sheetViews>
    <sheetView topLeftCell="C7" zoomScale="125" zoomScaleNormal="100" workbookViewId="0">
      <selection activeCell="J10" sqref="J10:K18"/>
    </sheetView>
  </sheetViews>
  <sheetFormatPr baseColWidth="10" defaultColWidth="11.42578125" defaultRowHeight="15" x14ac:dyDescent="0.25"/>
  <cols>
    <col min="1" max="1" width="12.7109375" customWidth="1"/>
    <col min="2" max="2" width="58.28515625" customWidth="1"/>
    <col min="3" max="3" width="14.42578125" customWidth="1"/>
    <col min="4" max="4" width="14" customWidth="1"/>
    <col min="5" max="5" width="16" customWidth="1"/>
    <col min="6" max="6" width="14.85546875" customWidth="1"/>
    <col min="8" max="8" width="11.42578125" bestFit="1" customWidth="1"/>
    <col min="9" max="9" width="91.28515625" bestFit="1" customWidth="1"/>
    <col min="10" max="10" width="12" bestFit="1" customWidth="1"/>
    <col min="11" max="11" width="50.7109375" bestFit="1" customWidth="1"/>
  </cols>
  <sheetData>
    <row r="1" spans="1:13" x14ac:dyDescent="0.25">
      <c r="A1" s="1"/>
      <c r="B1" s="1"/>
      <c r="C1" s="1"/>
      <c r="D1" s="1"/>
    </row>
    <row r="2" spans="1:13" x14ac:dyDescent="0.25">
      <c r="A2" s="2"/>
      <c r="B2" s="78" t="s">
        <v>0</v>
      </c>
      <c r="C2" s="79"/>
      <c r="D2" s="80"/>
      <c r="E2" s="3"/>
    </row>
    <row r="3" spans="1:13" x14ac:dyDescent="0.25">
      <c r="A3" s="2"/>
      <c r="B3" s="81" t="s">
        <v>1</v>
      </c>
      <c r="C3" s="82"/>
      <c r="D3" s="83"/>
      <c r="E3" s="4"/>
    </row>
    <row r="4" spans="1:13" ht="19.5" customHeight="1" x14ac:dyDescent="0.25">
      <c r="A4" s="2"/>
      <c r="B4" s="84" t="s">
        <v>2</v>
      </c>
      <c r="C4" s="85"/>
      <c r="D4" s="86"/>
      <c r="E4" s="35"/>
    </row>
    <row r="5" spans="1:13" x14ac:dyDescent="0.25">
      <c r="A5" s="1"/>
      <c r="B5" s="1"/>
      <c r="C5" s="1"/>
      <c r="D5" s="1"/>
    </row>
    <row r="6" spans="1:13" s="5" customFormat="1" ht="20.25" customHeight="1" x14ac:dyDescent="0.3">
      <c r="A6" s="87" t="s">
        <v>89</v>
      </c>
      <c r="B6" s="88"/>
      <c r="C6" s="88"/>
      <c r="D6" s="88"/>
      <c r="E6" s="89"/>
      <c r="F6"/>
    </row>
    <row r="7" spans="1:13" x14ac:dyDescent="0.25">
      <c r="A7" s="1"/>
      <c r="B7" s="1"/>
      <c r="C7" s="1"/>
      <c r="D7" s="1"/>
    </row>
    <row r="8" spans="1:13" ht="24.75" customHeight="1" x14ac:dyDescent="0.25">
      <c r="A8" s="16" t="s">
        <v>3</v>
      </c>
      <c r="B8" s="16" t="s">
        <v>4</v>
      </c>
      <c r="C8" s="17" t="s">
        <v>5</v>
      </c>
      <c r="D8" s="18" t="s">
        <v>6</v>
      </c>
      <c r="E8" s="26" t="s">
        <v>7</v>
      </c>
    </row>
    <row r="9" spans="1:13" ht="15.75" x14ac:dyDescent="0.25">
      <c r="A9" s="19"/>
      <c r="B9" s="6" t="s">
        <v>9</v>
      </c>
      <c r="C9" s="7"/>
      <c r="D9" s="8"/>
      <c r="E9" s="22">
        <f>'CORTE MAYO 31-25'!C41</f>
        <v>5008103.82</v>
      </c>
    </row>
    <row r="10" spans="1:13" x14ac:dyDescent="0.25">
      <c r="A10" s="19"/>
      <c r="B10" s="43" t="s">
        <v>83</v>
      </c>
      <c r="C10" s="41"/>
      <c r="D10" s="41">
        <v>80000</v>
      </c>
      <c r="E10" s="28">
        <f>(E9+C10)</f>
        <v>5008103.82</v>
      </c>
      <c r="I10" s="40"/>
      <c r="J10" s="95"/>
      <c r="K10" s="96"/>
      <c r="L10" s="56"/>
      <c r="M10" s="56"/>
    </row>
    <row r="11" spans="1:13" x14ac:dyDescent="0.25">
      <c r="A11" s="19"/>
      <c r="B11" s="49"/>
      <c r="C11" s="50"/>
      <c r="D11" s="7"/>
      <c r="E11" s="28">
        <f t="shared" ref="E11:E22" si="0">(E10+C11)-D11</f>
        <v>5008103.82</v>
      </c>
      <c r="I11" s="40"/>
      <c r="J11" s="95"/>
      <c r="K11" s="92"/>
    </row>
    <row r="12" spans="1:13" x14ac:dyDescent="0.25">
      <c r="A12" s="19"/>
      <c r="B12" s="47"/>
      <c r="C12" s="50"/>
      <c r="D12" s="7"/>
      <c r="E12" s="28">
        <f t="shared" si="0"/>
        <v>5008103.82</v>
      </c>
      <c r="G12" s="9"/>
      <c r="I12" s="40"/>
      <c r="J12" s="95"/>
      <c r="K12" s="96"/>
    </row>
    <row r="13" spans="1:13" s="10" customFormat="1" ht="15.75" x14ac:dyDescent="0.25">
      <c r="A13" s="19"/>
      <c r="B13" s="47"/>
      <c r="C13" s="50"/>
      <c r="D13" s="8"/>
      <c r="E13" s="28">
        <f t="shared" si="0"/>
        <v>5008103.82</v>
      </c>
      <c r="F13"/>
      <c r="G13" s="45"/>
      <c r="H13" s="36"/>
      <c r="I13" s="36"/>
      <c r="J13" s="97"/>
      <c r="K13" s="98"/>
    </row>
    <row r="14" spans="1:13" s="10" customFormat="1" ht="15.75" x14ac:dyDescent="0.25">
      <c r="A14" s="19"/>
      <c r="B14" s="47"/>
      <c r="C14" s="50"/>
      <c r="D14" s="8"/>
      <c r="E14" s="28">
        <f t="shared" si="0"/>
        <v>5008103.82</v>
      </c>
      <c r="F14"/>
      <c r="G14" s="45"/>
      <c r="H14" s="36"/>
      <c r="I14" s="36"/>
      <c r="J14" s="99"/>
      <c r="K14" s="98"/>
    </row>
    <row r="15" spans="1:13" s="10" customFormat="1" ht="15.75" x14ac:dyDescent="0.25">
      <c r="A15" s="19"/>
      <c r="B15" s="47"/>
      <c r="C15" s="50"/>
      <c r="D15" s="8"/>
      <c r="E15" s="28">
        <f t="shared" si="0"/>
        <v>5008103.82</v>
      </c>
      <c r="F15"/>
      <c r="G15" s="45"/>
      <c r="H15" s="36"/>
      <c r="I15" s="57"/>
      <c r="J15" s="99"/>
      <c r="K15" s="98"/>
    </row>
    <row r="16" spans="1:13" s="10" customFormat="1" ht="15.75" x14ac:dyDescent="0.25">
      <c r="A16" s="19"/>
      <c r="B16" s="48"/>
      <c r="C16" s="50"/>
      <c r="D16" s="8"/>
      <c r="E16" s="28">
        <f t="shared" si="0"/>
        <v>5008103.82</v>
      </c>
      <c r="F16"/>
      <c r="G16" s="45"/>
      <c r="H16" s="36"/>
      <c r="I16" s="36"/>
      <c r="J16" s="99"/>
      <c r="K16" s="98"/>
    </row>
    <row r="17" spans="1:11" s="10" customFormat="1" ht="15.75" x14ac:dyDescent="0.25">
      <c r="A17" s="19"/>
      <c r="B17" s="49"/>
      <c r="C17" s="50"/>
      <c r="D17" s="8"/>
      <c r="E17" s="28">
        <f t="shared" si="0"/>
        <v>5008103.82</v>
      </c>
      <c r="F17"/>
      <c r="G17" s="45"/>
      <c r="H17" s="36"/>
      <c r="I17" s="57"/>
      <c r="J17" s="100"/>
      <c r="K17" s="98"/>
    </row>
    <row r="18" spans="1:11" s="10" customFormat="1" ht="15.75" x14ac:dyDescent="0.25">
      <c r="A18" s="19"/>
      <c r="B18" s="47"/>
      <c r="C18" s="50"/>
      <c r="D18" s="8"/>
      <c r="E18" s="28">
        <f t="shared" si="0"/>
        <v>5008103.82</v>
      </c>
      <c r="F18"/>
      <c r="G18" s="45"/>
      <c r="H18" s="36"/>
      <c r="I18" s="36"/>
      <c r="J18" s="97"/>
      <c r="K18" s="98"/>
    </row>
    <row r="19" spans="1:11" s="10" customFormat="1" ht="15.75" x14ac:dyDescent="0.25">
      <c r="A19" s="19"/>
      <c r="B19" s="48"/>
      <c r="C19" s="50"/>
      <c r="D19" s="8"/>
      <c r="E19" s="28">
        <f t="shared" si="0"/>
        <v>5008103.82</v>
      </c>
      <c r="F19"/>
      <c r="G19" s="45"/>
      <c r="H19" s="36"/>
      <c r="I19" s="36"/>
      <c r="J19" s="46"/>
    </row>
    <row r="20" spans="1:11" x14ac:dyDescent="0.25">
      <c r="A20" s="19"/>
      <c r="B20" s="49"/>
      <c r="C20" s="50"/>
      <c r="D20" s="8"/>
      <c r="E20" s="28">
        <f t="shared" si="0"/>
        <v>5008103.82</v>
      </c>
    </row>
    <row r="21" spans="1:11" x14ac:dyDescent="0.25">
      <c r="A21" s="19"/>
      <c r="B21" s="49"/>
      <c r="C21" s="50"/>
      <c r="D21" s="8"/>
      <c r="E21" s="28">
        <f t="shared" si="0"/>
        <v>5008103.82</v>
      </c>
    </row>
    <row r="22" spans="1:11" x14ac:dyDescent="0.25">
      <c r="A22" s="19"/>
      <c r="B22" s="48"/>
      <c r="C22" s="50"/>
      <c r="D22" s="8"/>
      <c r="E22" s="28">
        <f t="shared" si="0"/>
        <v>5008103.82</v>
      </c>
    </row>
    <row r="23" spans="1:11" x14ac:dyDescent="0.25">
      <c r="A23" s="19"/>
      <c r="B23" s="48"/>
      <c r="C23" s="50"/>
      <c r="D23" s="8"/>
      <c r="E23" s="28">
        <f>(E22+C23)-D23</f>
        <v>5008103.82</v>
      </c>
    </row>
    <row r="24" spans="1:11" x14ac:dyDescent="0.25">
      <c r="A24" s="19"/>
      <c r="B24" s="48"/>
      <c r="C24" s="50"/>
      <c r="D24" s="8"/>
      <c r="E24" s="28">
        <f>(E23+C24)-D24</f>
        <v>5008103.82</v>
      </c>
    </row>
    <row r="25" spans="1:11" x14ac:dyDescent="0.25">
      <c r="A25" s="19"/>
      <c r="B25" s="48"/>
      <c r="C25" s="50"/>
      <c r="D25" s="8"/>
      <c r="E25" s="28">
        <f>(E24+C25)-D25</f>
        <v>5008103.82</v>
      </c>
    </row>
    <row r="26" spans="1:11" x14ac:dyDescent="0.25">
      <c r="A26" s="19"/>
      <c r="B26" s="48"/>
      <c r="C26" s="50"/>
      <c r="D26" s="8"/>
      <c r="E26" s="28">
        <f t="shared" ref="E26:E32" si="1">(E25+C26)-D26</f>
        <v>5008103.82</v>
      </c>
    </row>
    <row r="27" spans="1:11" x14ac:dyDescent="0.25">
      <c r="A27" s="19"/>
      <c r="B27" s="32"/>
      <c r="C27" s="7"/>
      <c r="D27" s="8"/>
      <c r="E27" s="28">
        <f t="shared" si="1"/>
        <v>5008103.82</v>
      </c>
    </row>
    <row r="28" spans="1:11" x14ac:dyDescent="0.25">
      <c r="A28" s="19"/>
      <c r="B28" s="32"/>
      <c r="C28" s="7"/>
      <c r="D28" s="8"/>
      <c r="E28" s="28">
        <f t="shared" si="1"/>
        <v>5008103.82</v>
      </c>
    </row>
    <row r="29" spans="1:11" x14ac:dyDescent="0.25">
      <c r="A29" s="19"/>
      <c r="B29" s="15"/>
      <c r="C29" s="7"/>
      <c r="D29" s="8"/>
      <c r="E29" s="28">
        <f t="shared" si="1"/>
        <v>5008103.82</v>
      </c>
    </row>
    <row r="30" spans="1:11" x14ac:dyDescent="0.25">
      <c r="A30" s="19"/>
      <c r="B30" s="15"/>
      <c r="C30" s="7"/>
      <c r="D30" s="8"/>
      <c r="E30" s="28">
        <f t="shared" si="1"/>
        <v>5008103.82</v>
      </c>
      <c r="F30" s="40"/>
    </row>
    <row r="31" spans="1:11" x14ac:dyDescent="0.25">
      <c r="A31" s="19"/>
      <c r="B31" s="15"/>
      <c r="C31" s="7"/>
      <c r="D31" s="8"/>
      <c r="E31" s="28">
        <f t="shared" si="1"/>
        <v>5008103.82</v>
      </c>
    </row>
    <row r="32" spans="1:11" x14ac:dyDescent="0.25">
      <c r="A32" s="19"/>
      <c r="B32" s="15"/>
      <c r="C32" s="7"/>
      <c r="D32" s="8"/>
      <c r="E32" s="28">
        <f t="shared" si="1"/>
        <v>5008103.82</v>
      </c>
    </row>
    <row r="33" spans="1:8" ht="15.75" x14ac:dyDescent="0.25">
      <c r="A33" s="20"/>
      <c r="B33" s="21" t="s">
        <v>8</v>
      </c>
      <c r="C33" s="22">
        <f>SUM(C10:C32)</f>
        <v>0</v>
      </c>
      <c r="D33" s="22">
        <f>SUM(D9:D32)</f>
        <v>80000</v>
      </c>
      <c r="E33" s="27">
        <f>E32</f>
        <v>5008103.82</v>
      </c>
    </row>
    <row r="34" spans="1:8" ht="15.75" x14ac:dyDescent="0.25">
      <c r="A34" s="20"/>
      <c r="B34" s="29"/>
      <c r="C34" s="30"/>
      <c r="D34" s="30"/>
      <c r="E34" s="31"/>
    </row>
    <row r="35" spans="1:8" ht="15.75" x14ac:dyDescent="0.25">
      <c r="A35" s="20"/>
      <c r="B35" s="29"/>
      <c r="C35" s="30"/>
      <c r="D35" s="30"/>
    </row>
    <row r="36" spans="1:8" ht="15.75" x14ac:dyDescent="0.25">
      <c r="A36" s="23"/>
      <c r="B36" s="25" t="s">
        <v>9</v>
      </c>
      <c r="C36" s="27">
        <f>E9</f>
        <v>5008103.82</v>
      </c>
      <c r="D36" s="24"/>
      <c r="E36" s="9"/>
    </row>
    <row r="37" spans="1:8" ht="15.75" x14ac:dyDescent="0.25">
      <c r="A37" s="23"/>
      <c r="B37" s="25" t="s">
        <v>5</v>
      </c>
      <c r="C37" s="14">
        <f>C33</f>
        <v>0</v>
      </c>
      <c r="D37" s="24"/>
    </row>
    <row r="38" spans="1:8" ht="15.75" x14ac:dyDescent="0.25">
      <c r="A38" s="23"/>
      <c r="B38" s="13" t="s">
        <v>64</v>
      </c>
      <c r="C38" s="12"/>
      <c r="D38" s="24"/>
    </row>
    <row r="39" spans="1:8" ht="15.75" x14ac:dyDescent="0.25">
      <c r="A39" s="23"/>
      <c r="B39" s="22" t="s">
        <v>11</v>
      </c>
      <c r="C39" s="22">
        <f>C36+C37</f>
        <v>5008103.82</v>
      </c>
      <c r="D39" s="24" t="s">
        <v>81</v>
      </c>
      <c r="H39" s="9"/>
    </row>
    <row r="40" spans="1:8" ht="15.75" x14ac:dyDescent="0.25">
      <c r="A40" s="23"/>
      <c r="B40" s="34" t="s">
        <v>6</v>
      </c>
      <c r="C40" s="14">
        <f>+D33</f>
        <v>80000</v>
      </c>
      <c r="D40" s="24"/>
    </row>
    <row r="41" spans="1:8" ht="15.75" x14ac:dyDescent="0.25">
      <c r="B41" s="22" t="s">
        <v>12</v>
      </c>
      <c r="C41" s="22">
        <f>E33</f>
        <v>5008103.82</v>
      </c>
    </row>
    <row r="42" spans="1:8" ht="21" x14ac:dyDescent="0.35">
      <c r="C42" s="37"/>
    </row>
    <row r="43" spans="1:8" x14ac:dyDescent="0.25">
      <c r="E43" s="39"/>
    </row>
    <row r="44" spans="1:8" ht="21" x14ac:dyDescent="0.35">
      <c r="B44" s="11" t="s">
        <v>76</v>
      </c>
      <c r="C44" s="37"/>
    </row>
    <row r="45" spans="1:8" x14ac:dyDescent="0.25">
      <c r="B45" s="11" t="s">
        <v>77</v>
      </c>
    </row>
    <row r="46" spans="1:8" x14ac:dyDescent="0.25">
      <c r="B46" s="11"/>
    </row>
    <row r="47" spans="1:8" ht="21" x14ac:dyDescent="0.35">
      <c r="C47" s="37"/>
    </row>
  </sheetData>
  <mergeCells count="4">
    <mergeCell ref="B2:D2"/>
    <mergeCell ref="B3:D3"/>
    <mergeCell ref="B4:D4"/>
    <mergeCell ref="A6:E6"/>
  </mergeCells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94284C-2C4A-49E2-A3E1-279597636AE8}">
  <dimension ref="A1:I29"/>
  <sheetViews>
    <sheetView topLeftCell="A4" zoomScale="119" zoomScaleNormal="100" workbookViewId="0">
      <selection activeCell="D11" sqref="D11"/>
    </sheetView>
  </sheetViews>
  <sheetFormatPr baseColWidth="10" defaultColWidth="11.42578125" defaultRowHeight="15" x14ac:dyDescent="0.25"/>
  <cols>
    <col min="1" max="1" width="12.7109375" customWidth="1"/>
    <col min="2" max="2" width="58.28515625" customWidth="1"/>
    <col min="3" max="3" width="14.42578125" customWidth="1"/>
    <col min="4" max="4" width="14" customWidth="1"/>
    <col min="5" max="5" width="16" customWidth="1"/>
    <col min="6" max="6" width="14.85546875" customWidth="1"/>
    <col min="8" max="8" width="25.7109375" customWidth="1"/>
  </cols>
  <sheetData>
    <row r="1" spans="1:9" x14ac:dyDescent="0.25">
      <c r="A1" s="1"/>
      <c r="B1" s="1"/>
      <c r="C1" s="1"/>
      <c r="D1" s="1"/>
    </row>
    <row r="2" spans="1:9" x14ac:dyDescent="0.25">
      <c r="A2" s="2"/>
      <c r="B2" s="78" t="s">
        <v>0</v>
      </c>
      <c r="C2" s="79"/>
      <c r="D2" s="80"/>
      <c r="E2" s="3"/>
    </row>
    <row r="3" spans="1:9" x14ac:dyDescent="0.25">
      <c r="A3" s="2"/>
      <c r="B3" s="81" t="s">
        <v>1</v>
      </c>
      <c r="C3" s="82"/>
      <c r="D3" s="83"/>
      <c r="E3" s="4"/>
    </row>
    <row r="4" spans="1:9" ht="19.5" customHeight="1" x14ac:dyDescent="0.25">
      <c r="A4" s="2"/>
      <c r="B4" s="84" t="s">
        <v>2</v>
      </c>
      <c r="C4" s="85"/>
      <c r="D4" s="86"/>
      <c r="E4" s="35"/>
    </row>
    <row r="5" spans="1:9" x14ac:dyDescent="0.25">
      <c r="A5" s="1"/>
      <c r="B5" s="1"/>
      <c r="C5" s="1"/>
      <c r="D5" s="1"/>
    </row>
    <row r="6" spans="1:9" s="5" customFormat="1" ht="20.25" customHeight="1" x14ac:dyDescent="0.3">
      <c r="A6" s="87" t="s">
        <v>90</v>
      </c>
      <c r="B6" s="88"/>
      <c r="C6" s="88"/>
      <c r="D6" s="88"/>
      <c r="E6" s="89"/>
      <c r="F6"/>
    </row>
    <row r="7" spans="1:9" x14ac:dyDescent="0.25">
      <c r="A7" s="1"/>
      <c r="B7" s="1"/>
      <c r="C7" s="1"/>
      <c r="D7" s="1"/>
    </row>
    <row r="8" spans="1:9" ht="24.75" customHeight="1" x14ac:dyDescent="0.25">
      <c r="A8" s="16" t="s">
        <v>3</v>
      </c>
      <c r="B8" s="16" t="s">
        <v>4</v>
      </c>
      <c r="C8" s="17" t="s">
        <v>5</v>
      </c>
      <c r="D8" s="18" t="s">
        <v>6</v>
      </c>
      <c r="E8" s="26" t="s">
        <v>7</v>
      </c>
    </row>
    <row r="9" spans="1:9" ht="15.75" x14ac:dyDescent="0.25">
      <c r="A9" s="19"/>
      <c r="B9" s="6" t="s">
        <v>9</v>
      </c>
      <c r="C9" s="7"/>
      <c r="D9" s="8"/>
      <c r="E9" s="22">
        <f>'CORTE JUNIO 30-25'!J12</f>
        <v>0</v>
      </c>
      <c r="H9" s="9"/>
      <c r="I9" s="69"/>
    </row>
    <row r="10" spans="1:9" x14ac:dyDescent="0.25">
      <c r="A10" s="19"/>
      <c r="B10" s="6" t="s">
        <v>96</v>
      </c>
      <c r="C10" s="7">
        <f>3500000</f>
        <v>3500000</v>
      </c>
      <c r="D10" s="8">
        <v>0</v>
      </c>
      <c r="E10" s="28">
        <f>(E9+C10)-D10</f>
        <v>3500000</v>
      </c>
      <c r="H10" s="9"/>
      <c r="I10" s="69"/>
    </row>
    <row r="11" spans="1:9" x14ac:dyDescent="0.25">
      <c r="A11" s="19">
        <v>45854</v>
      </c>
      <c r="B11" s="49" t="s">
        <v>94</v>
      </c>
      <c r="C11" s="50">
        <v>0</v>
      </c>
      <c r="D11" s="7">
        <v>1000000</v>
      </c>
      <c r="E11" s="28">
        <f t="shared" ref="E11:E14" si="0">(E10+C11)-D11</f>
        <v>2500000</v>
      </c>
      <c r="H11" s="9"/>
      <c r="I11" s="69"/>
    </row>
    <row r="12" spans="1:9" x14ac:dyDescent="0.25">
      <c r="A12" s="19">
        <v>45869</v>
      </c>
      <c r="B12" s="33" t="s">
        <v>95</v>
      </c>
      <c r="C12" s="7">
        <v>0</v>
      </c>
      <c r="D12" s="8">
        <v>2672000</v>
      </c>
      <c r="E12" s="28">
        <f t="shared" si="0"/>
        <v>-172000</v>
      </c>
      <c r="H12" s="9"/>
      <c r="I12" s="69"/>
    </row>
    <row r="13" spans="1:9" x14ac:dyDescent="0.25">
      <c r="A13" s="19">
        <v>45861</v>
      </c>
      <c r="B13" s="33" t="s">
        <v>93</v>
      </c>
      <c r="C13" s="7">
        <v>0</v>
      </c>
      <c r="D13" s="8">
        <v>395000</v>
      </c>
      <c r="E13" s="28">
        <f t="shared" si="0"/>
        <v>-567000</v>
      </c>
      <c r="H13" s="9"/>
      <c r="I13" s="69"/>
    </row>
    <row r="14" spans="1:9" x14ac:dyDescent="0.25">
      <c r="A14" s="19">
        <v>45869</v>
      </c>
      <c r="B14" s="33" t="s">
        <v>95</v>
      </c>
      <c r="C14" s="7">
        <v>0</v>
      </c>
      <c r="D14" s="8">
        <v>2762000</v>
      </c>
      <c r="E14" s="28">
        <f t="shared" si="0"/>
        <v>-3329000</v>
      </c>
      <c r="G14" s="9"/>
      <c r="H14" s="9"/>
      <c r="I14" s="69"/>
    </row>
    <row r="15" spans="1:9" ht="15.75" x14ac:dyDescent="0.25">
      <c r="A15" s="20"/>
      <c r="B15" s="21" t="s">
        <v>8</v>
      </c>
      <c r="C15" s="22">
        <f>SUM(C11:C14)</f>
        <v>0</v>
      </c>
      <c r="D15" s="22">
        <f>SUM(D11:D14)</f>
        <v>6829000</v>
      </c>
      <c r="E15" s="27">
        <f>E14</f>
        <v>-3329000</v>
      </c>
      <c r="H15" s="9"/>
      <c r="I15" s="69"/>
    </row>
    <row r="16" spans="1:9" ht="15.75" x14ac:dyDescent="0.25">
      <c r="A16" s="20"/>
      <c r="B16" s="29"/>
      <c r="C16" s="30"/>
      <c r="D16" s="30"/>
      <c r="E16" s="31"/>
      <c r="H16" s="9"/>
      <c r="I16" s="69"/>
    </row>
    <row r="17" spans="1:8" ht="15.75" x14ac:dyDescent="0.25">
      <c r="A17" s="20"/>
      <c r="B17" s="29"/>
      <c r="C17" s="30"/>
      <c r="D17" s="30"/>
    </row>
    <row r="18" spans="1:8" ht="15.75" x14ac:dyDescent="0.25">
      <c r="A18" s="23"/>
      <c r="B18" s="25" t="s">
        <v>9</v>
      </c>
      <c r="C18" s="27">
        <f>E9</f>
        <v>0</v>
      </c>
      <c r="D18" s="24"/>
      <c r="E18" s="9"/>
    </row>
    <row r="19" spans="1:8" ht="15.75" x14ac:dyDescent="0.25">
      <c r="A19" s="23"/>
      <c r="B19" s="25" t="s">
        <v>5</v>
      </c>
      <c r="C19" s="14">
        <f>C15</f>
        <v>0</v>
      </c>
      <c r="D19" s="24"/>
    </row>
    <row r="20" spans="1:8" ht="15.75" x14ac:dyDescent="0.25">
      <c r="A20" s="23"/>
      <c r="B20" s="13" t="s">
        <v>64</v>
      </c>
      <c r="C20" s="12"/>
      <c r="D20" s="24"/>
    </row>
    <row r="21" spans="1:8" ht="15.75" x14ac:dyDescent="0.25">
      <c r="A21" s="23"/>
      <c r="B21" s="22" t="s">
        <v>11</v>
      </c>
      <c r="C21" s="22">
        <f>C18+C19</f>
        <v>0</v>
      </c>
      <c r="D21" s="24" t="s">
        <v>81</v>
      </c>
      <c r="H21" s="9"/>
    </row>
    <row r="22" spans="1:8" ht="15.75" x14ac:dyDescent="0.25">
      <c r="A22" s="23"/>
      <c r="B22" s="34" t="s">
        <v>6</v>
      </c>
      <c r="C22" s="14">
        <f>+D15</f>
        <v>6829000</v>
      </c>
      <c r="D22" s="24"/>
    </row>
    <row r="23" spans="1:8" ht="15.75" x14ac:dyDescent="0.25">
      <c r="B23" s="22" t="s">
        <v>12</v>
      </c>
      <c r="C23" s="22">
        <f>E15</f>
        <v>-3329000</v>
      </c>
    </row>
    <row r="24" spans="1:8" ht="21" x14ac:dyDescent="0.35">
      <c r="C24" s="37"/>
    </row>
    <row r="25" spans="1:8" x14ac:dyDescent="0.25">
      <c r="E25" s="39"/>
    </row>
    <row r="26" spans="1:8" ht="21" x14ac:dyDescent="0.35">
      <c r="B26" s="11" t="s">
        <v>76</v>
      </c>
      <c r="C26" s="37"/>
    </row>
    <row r="27" spans="1:8" x14ac:dyDescent="0.25">
      <c r="B27" s="11" t="s">
        <v>77</v>
      </c>
    </row>
    <row r="28" spans="1:8" x14ac:dyDescent="0.25">
      <c r="B28" s="11"/>
    </row>
    <row r="29" spans="1:8" ht="21" x14ac:dyDescent="0.35">
      <c r="C29" s="37"/>
    </row>
  </sheetData>
  <mergeCells count="4">
    <mergeCell ref="B2:D2"/>
    <mergeCell ref="B3:D3"/>
    <mergeCell ref="B4:D4"/>
    <mergeCell ref="A6:E6"/>
  </mergeCells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08CB18-C4A2-AC46-B963-ECCEC66A2F9B}">
  <dimension ref="A1:J33"/>
  <sheetViews>
    <sheetView workbookViewId="0">
      <selection activeCell="H8" sqref="H8"/>
    </sheetView>
  </sheetViews>
  <sheetFormatPr baseColWidth="10" defaultColWidth="11.42578125" defaultRowHeight="15" x14ac:dyDescent="0.25"/>
  <cols>
    <col min="1" max="1" width="12.7109375" customWidth="1"/>
    <col min="2" max="2" width="66" bestFit="1" customWidth="1"/>
    <col min="3" max="3" width="14.42578125" customWidth="1"/>
    <col min="4" max="4" width="14" customWidth="1"/>
    <col min="5" max="5" width="16" customWidth="1"/>
    <col min="6" max="6" width="14.85546875" customWidth="1"/>
    <col min="8" max="8" width="11.42578125" bestFit="1" customWidth="1"/>
    <col min="9" max="9" width="14.28515625" customWidth="1"/>
    <col min="10" max="10" width="13.7109375" bestFit="1" customWidth="1"/>
  </cols>
  <sheetData>
    <row r="1" spans="1:10" x14ac:dyDescent="0.25">
      <c r="A1" s="1"/>
      <c r="B1" s="1"/>
      <c r="C1" s="1"/>
      <c r="D1" s="1"/>
    </row>
    <row r="2" spans="1:10" x14ac:dyDescent="0.25">
      <c r="A2" s="2"/>
      <c r="B2" s="78" t="s">
        <v>0</v>
      </c>
      <c r="C2" s="79"/>
      <c r="D2" s="80"/>
      <c r="E2" s="3"/>
    </row>
    <row r="3" spans="1:10" x14ac:dyDescent="0.25">
      <c r="A3" s="2"/>
      <c r="B3" s="81" t="s">
        <v>1</v>
      </c>
      <c r="C3" s="82"/>
      <c r="D3" s="83"/>
      <c r="E3" s="4"/>
    </row>
    <row r="4" spans="1:10" ht="19.5" customHeight="1" x14ac:dyDescent="0.25">
      <c r="A4" s="2"/>
      <c r="B4" s="84" t="s">
        <v>2</v>
      </c>
      <c r="C4" s="85"/>
      <c r="D4" s="86"/>
      <c r="E4" s="35"/>
    </row>
    <row r="5" spans="1:10" x14ac:dyDescent="0.25">
      <c r="A5" s="1"/>
      <c r="B5" s="1"/>
      <c r="C5" s="1"/>
      <c r="D5" s="1"/>
    </row>
    <row r="6" spans="1:10" s="5" customFormat="1" ht="20.25" customHeight="1" x14ac:dyDescent="0.3">
      <c r="A6" s="87" t="s">
        <v>150</v>
      </c>
      <c r="B6" s="88"/>
      <c r="C6" s="88"/>
      <c r="D6" s="88"/>
      <c r="E6" s="89"/>
      <c r="F6"/>
      <c r="G6"/>
      <c r="H6"/>
      <c r="I6"/>
      <c r="J6"/>
    </row>
    <row r="7" spans="1:10" x14ac:dyDescent="0.25">
      <c r="A7" s="1"/>
      <c r="B7" s="1"/>
      <c r="C7" s="1"/>
      <c r="D7" s="1"/>
    </row>
    <row r="8" spans="1:10" ht="24.75" customHeight="1" x14ac:dyDescent="0.25">
      <c r="A8" s="16" t="s">
        <v>3</v>
      </c>
      <c r="B8" s="16" t="s">
        <v>4</v>
      </c>
      <c r="C8" s="17" t="s">
        <v>5</v>
      </c>
      <c r="D8" s="18" t="s">
        <v>6</v>
      </c>
      <c r="E8" s="26" t="s">
        <v>7</v>
      </c>
    </row>
    <row r="9" spans="1:10" ht="15.75" x14ac:dyDescent="0.25">
      <c r="A9" s="19"/>
      <c r="B9" s="6" t="s">
        <v>9</v>
      </c>
      <c r="C9" s="7"/>
      <c r="D9" s="8"/>
      <c r="E9" s="22">
        <f>'CORTE JULIO 31-25'!C23</f>
        <v>-3329000</v>
      </c>
    </row>
    <row r="10" spans="1:10" x14ac:dyDescent="0.25">
      <c r="A10" s="19"/>
      <c r="B10" s="70" t="s">
        <v>104</v>
      </c>
      <c r="C10" s="7">
        <v>3980000</v>
      </c>
      <c r="D10" s="7">
        <v>0</v>
      </c>
      <c r="E10" s="28">
        <f>(E9+C10)-D10</f>
        <v>651000</v>
      </c>
    </row>
    <row r="11" spans="1:10" x14ac:dyDescent="0.25">
      <c r="A11" s="19">
        <v>45870</v>
      </c>
      <c r="B11" s="33" t="s">
        <v>103</v>
      </c>
      <c r="C11" s="7">
        <v>101000</v>
      </c>
      <c r="D11" s="7">
        <v>0</v>
      </c>
      <c r="E11" s="28">
        <f>(E10+C11)-D11</f>
        <v>752000</v>
      </c>
    </row>
    <row r="12" spans="1:10" x14ac:dyDescent="0.25">
      <c r="A12" s="19">
        <v>45870</v>
      </c>
      <c r="B12" s="33" t="s">
        <v>97</v>
      </c>
      <c r="C12" s="38">
        <v>0</v>
      </c>
      <c r="D12" s="7">
        <v>1000000</v>
      </c>
      <c r="E12" s="28">
        <f>(E11+C12)-D12</f>
        <v>-248000</v>
      </c>
    </row>
    <row r="13" spans="1:10" x14ac:dyDescent="0.25">
      <c r="A13" s="19">
        <v>45870</v>
      </c>
      <c r="B13" s="33" t="s">
        <v>98</v>
      </c>
      <c r="C13" s="38">
        <v>0</v>
      </c>
      <c r="D13" s="7">
        <v>362000</v>
      </c>
      <c r="E13" s="28">
        <f>(E12+C13)-D13</f>
        <v>-610000</v>
      </c>
    </row>
    <row r="14" spans="1:10" x14ac:dyDescent="0.25">
      <c r="A14" s="19">
        <v>45872</v>
      </c>
      <c r="B14" s="33" t="s">
        <v>99</v>
      </c>
      <c r="C14" s="38">
        <v>0</v>
      </c>
      <c r="D14" s="7">
        <v>281500</v>
      </c>
      <c r="E14" s="28">
        <f>(E13+C14)-D14</f>
        <v>-891500</v>
      </c>
    </row>
    <row r="15" spans="1:10" x14ac:dyDescent="0.25">
      <c r="A15" s="19">
        <v>45873</v>
      </c>
      <c r="B15" s="33" t="s">
        <v>100</v>
      </c>
      <c r="C15" s="38">
        <v>0</v>
      </c>
      <c r="D15" s="7">
        <v>1546300</v>
      </c>
      <c r="E15" s="28">
        <f t="shared" ref="E15:E17" si="0">(E14+C15)-D15</f>
        <v>-2437800</v>
      </c>
    </row>
    <row r="16" spans="1:10" x14ac:dyDescent="0.25">
      <c r="A16" s="19">
        <v>45873</v>
      </c>
      <c r="B16" s="33" t="s">
        <v>101</v>
      </c>
      <c r="C16" s="38">
        <v>0</v>
      </c>
      <c r="D16" s="7">
        <v>1000000</v>
      </c>
      <c r="E16" s="28">
        <f t="shared" si="0"/>
        <v>-3437800</v>
      </c>
    </row>
    <row r="17" spans="1:6" x14ac:dyDescent="0.25">
      <c r="A17" s="19">
        <v>45873</v>
      </c>
      <c r="B17" s="33" t="s">
        <v>102</v>
      </c>
      <c r="C17" s="38">
        <v>860000</v>
      </c>
      <c r="D17" s="7">
        <v>0</v>
      </c>
      <c r="E17" s="28">
        <f t="shared" si="0"/>
        <v>-2577800</v>
      </c>
    </row>
    <row r="18" spans="1:6" ht="15.75" x14ac:dyDescent="0.25">
      <c r="A18" s="20"/>
      <c r="B18" s="21" t="s">
        <v>8</v>
      </c>
      <c r="C18" s="22">
        <f>SUM(C10:C17)</f>
        <v>4941000</v>
      </c>
      <c r="D18" s="22">
        <f>SUM(D10:D17)</f>
        <v>4189800</v>
      </c>
      <c r="E18" s="27">
        <f>E17</f>
        <v>-2577800</v>
      </c>
    </row>
    <row r="19" spans="1:6" ht="15.75" x14ac:dyDescent="0.25">
      <c r="A19" s="20"/>
      <c r="B19" s="29"/>
      <c r="C19" s="30"/>
      <c r="D19" s="30"/>
      <c r="E19" s="31"/>
    </row>
    <row r="20" spans="1:6" ht="15.75" x14ac:dyDescent="0.25">
      <c r="A20" s="20"/>
      <c r="B20" s="29"/>
      <c r="C20" s="30"/>
      <c r="D20" s="30"/>
    </row>
    <row r="21" spans="1:6" ht="15.75" x14ac:dyDescent="0.25">
      <c r="A21" s="23"/>
      <c r="B21" s="25" t="s">
        <v>9</v>
      </c>
      <c r="C21" s="27">
        <f>E9</f>
        <v>-3329000</v>
      </c>
      <c r="D21" s="24"/>
      <c r="E21" s="9"/>
    </row>
    <row r="22" spans="1:6" ht="15.75" x14ac:dyDescent="0.25">
      <c r="A22" s="23"/>
      <c r="B22" s="25" t="s">
        <v>5</v>
      </c>
      <c r="C22" s="14">
        <f>C18</f>
        <v>4941000</v>
      </c>
      <c r="D22" s="24"/>
    </row>
    <row r="23" spans="1:6" ht="15.75" x14ac:dyDescent="0.25">
      <c r="A23" s="23"/>
      <c r="B23" s="13" t="s">
        <v>64</v>
      </c>
      <c r="C23" s="12">
        <v>0</v>
      </c>
      <c r="D23" s="24"/>
    </row>
    <row r="24" spans="1:6" ht="15.75" x14ac:dyDescent="0.25">
      <c r="A24" s="23"/>
      <c r="B24" s="22" t="s">
        <v>11</v>
      </c>
      <c r="C24" s="22">
        <f>C21+C22</f>
        <v>1612000</v>
      </c>
      <c r="D24" s="24"/>
      <c r="F24" s="40"/>
    </row>
    <row r="25" spans="1:6" ht="15.75" x14ac:dyDescent="0.25">
      <c r="A25" s="23"/>
      <c r="B25" s="34" t="s">
        <v>6</v>
      </c>
      <c r="C25" s="14">
        <f>+D18</f>
        <v>4189800</v>
      </c>
      <c r="D25" s="24"/>
    </row>
    <row r="26" spans="1:6" ht="15.75" x14ac:dyDescent="0.25">
      <c r="B26" s="22" t="s">
        <v>12</v>
      </c>
      <c r="C26" s="22">
        <f>E18</f>
        <v>-2577800</v>
      </c>
    </row>
    <row r="27" spans="1:6" ht="21" x14ac:dyDescent="0.35">
      <c r="C27" s="37"/>
    </row>
    <row r="28" spans="1:6" x14ac:dyDescent="0.25">
      <c r="E28" s="39"/>
    </row>
    <row r="29" spans="1:6" ht="21" x14ac:dyDescent="0.35">
      <c r="B29" s="11" t="s">
        <v>13</v>
      </c>
      <c r="C29" s="37"/>
    </row>
    <row r="30" spans="1:6" x14ac:dyDescent="0.25">
      <c r="B30" s="11" t="s">
        <v>14</v>
      </c>
    </row>
    <row r="31" spans="1:6" x14ac:dyDescent="0.25">
      <c r="B31" s="11"/>
    </row>
    <row r="32" spans="1:6" ht="21" x14ac:dyDescent="0.35">
      <c r="C32" s="37"/>
    </row>
    <row r="33" spans="8:8" x14ac:dyDescent="0.25">
      <c r="H33" s="9"/>
    </row>
  </sheetData>
  <mergeCells count="4">
    <mergeCell ref="B2:D2"/>
    <mergeCell ref="B3:D3"/>
    <mergeCell ref="B4:D4"/>
    <mergeCell ref="A6:E6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F4FFE-BB73-4D29-8553-168F44E6BC0C}">
  <dimension ref="A1:K30"/>
  <sheetViews>
    <sheetView topLeftCell="A3" workbookViewId="0">
      <selection activeCell="H20" sqref="H20"/>
    </sheetView>
  </sheetViews>
  <sheetFormatPr baseColWidth="10" defaultColWidth="11.42578125" defaultRowHeight="15" x14ac:dyDescent="0.25"/>
  <cols>
    <col min="1" max="1" width="12.7109375" customWidth="1"/>
    <col min="2" max="2" width="66" bestFit="1" customWidth="1"/>
    <col min="3" max="3" width="14.42578125" customWidth="1"/>
    <col min="4" max="4" width="14" customWidth="1"/>
    <col min="5" max="5" width="16" customWidth="1"/>
    <col min="6" max="6" width="14.85546875" customWidth="1"/>
    <col min="8" max="8" width="11.42578125" bestFit="1" customWidth="1"/>
    <col min="9" max="9" width="25.85546875" bestFit="1" customWidth="1"/>
    <col min="10" max="10" width="13.7109375" bestFit="1" customWidth="1"/>
  </cols>
  <sheetData>
    <row r="1" spans="1:11" x14ac:dyDescent="0.25">
      <c r="A1" s="1"/>
      <c r="B1" s="1"/>
      <c r="C1" s="1"/>
      <c r="D1" s="1"/>
    </row>
    <row r="2" spans="1:11" x14ac:dyDescent="0.25">
      <c r="A2" s="2"/>
      <c r="B2" s="78" t="s">
        <v>0</v>
      </c>
      <c r="C2" s="79"/>
      <c r="D2" s="80"/>
      <c r="E2" s="3"/>
    </row>
    <row r="3" spans="1:11" x14ac:dyDescent="0.25">
      <c r="A3" s="2"/>
      <c r="B3" s="81" t="s">
        <v>1</v>
      </c>
      <c r="C3" s="82"/>
      <c r="D3" s="83"/>
      <c r="E3" s="4"/>
    </row>
    <row r="4" spans="1:11" ht="19.5" customHeight="1" x14ac:dyDescent="0.25">
      <c r="A4" s="2"/>
      <c r="B4" s="84" t="s">
        <v>2</v>
      </c>
      <c r="C4" s="85"/>
      <c r="D4" s="86"/>
      <c r="E4" s="35"/>
    </row>
    <row r="5" spans="1:11" x14ac:dyDescent="0.25">
      <c r="A5" s="1"/>
      <c r="B5" s="1"/>
      <c r="C5" s="1"/>
      <c r="D5" s="1"/>
    </row>
    <row r="6" spans="1:11" s="5" customFormat="1" ht="20.25" customHeight="1" x14ac:dyDescent="0.3">
      <c r="A6" s="87" t="s">
        <v>151</v>
      </c>
      <c r="B6" s="88"/>
      <c r="C6" s="88"/>
      <c r="D6" s="88"/>
      <c r="E6" s="89"/>
      <c r="F6"/>
      <c r="G6"/>
      <c r="H6"/>
      <c r="I6"/>
      <c r="J6"/>
    </row>
    <row r="7" spans="1:11" ht="15.75" x14ac:dyDescent="0.25">
      <c r="A7" s="1"/>
      <c r="B7" s="1"/>
      <c r="C7" s="1"/>
      <c r="D7" s="1"/>
      <c r="G7" s="45"/>
      <c r="H7" s="36"/>
      <c r="I7" s="36"/>
      <c r="J7" s="46"/>
    </row>
    <row r="8" spans="1:11" ht="24.75" customHeight="1" x14ac:dyDescent="0.25">
      <c r="A8" s="16" t="s">
        <v>3</v>
      </c>
      <c r="B8" s="16" t="s">
        <v>4</v>
      </c>
      <c r="C8" s="17" t="s">
        <v>5</v>
      </c>
      <c r="D8" s="18" t="s">
        <v>6</v>
      </c>
      <c r="E8" s="26" t="s">
        <v>7</v>
      </c>
    </row>
    <row r="9" spans="1:11" ht="15.75" x14ac:dyDescent="0.25">
      <c r="A9" s="19"/>
      <c r="B9" s="6" t="s">
        <v>9</v>
      </c>
      <c r="C9" s="7"/>
      <c r="D9" s="8"/>
      <c r="E9" s="22">
        <f>'CORTE AGOSTO 31-25'!C26</f>
        <v>-2577800</v>
      </c>
      <c r="I9" s="72"/>
      <c r="J9" s="71"/>
    </row>
    <row r="10" spans="1:11" ht="15.75" x14ac:dyDescent="0.25">
      <c r="A10" s="19"/>
      <c r="B10" s="6" t="s">
        <v>109</v>
      </c>
      <c r="C10" s="7">
        <v>1620000</v>
      </c>
      <c r="D10" s="8">
        <v>0</v>
      </c>
      <c r="E10" s="28">
        <f>(E9+C10)-D10</f>
        <v>-957800</v>
      </c>
      <c r="I10" s="72"/>
      <c r="J10" s="71"/>
    </row>
    <row r="11" spans="1:11" ht="15.75" x14ac:dyDescent="0.25">
      <c r="A11" s="19"/>
      <c r="B11" s="6" t="s">
        <v>110</v>
      </c>
      <c r="C11" s="7">
        <v>11975</v>
      </c>
      <c r="D11" s="8">
        <v>0</v>
      </c>
      <c r="E11" s="28">
        <f>(E10+C11)-D11</f>
        <v>-945825</v>
      </c>
      <c r="I11" s="72"/>
      <c r="J11" s="71"/>
    </row>
    <row r="12" spans="1:11" s="10" customFormat="1" ht="15.75" x14ac:dyDescent="0.25">
      <c r="A12" s="19">
        <v>45910</v>
      </c>
      <c r="B12" s="32" t="s">
        <v>105</v>
      </c>
      <c r="C12" s="7">
        <v>360000</v>
      </c>
      <c r="D12" s="8">
        <v>0</v>
      </c>
      <c r="E12" s="28">
        <f t="shared" ref="E12:E15" si="0">(E11+C12)-D12</f>
        <v>-585825</v>
      </c>
      <c r="F12"/>
      <c r="G12"/>
      <c r="H12"/>
      <c r="I12" s="72"/>
      <c r="J12" s="71"/>
    </row>
    <row r="13" spans="1:11" s="10" customFormat="1" ht="15.75" x14ac:dyDescent="0.25">
      <c r="A13" s="19">
        <v>45911</v>
      </c>
      <c r="B13" s="32" t="s">
        <v>106</v>
      </c>
      <c r="C13" s="7">
        <v>140000</v>
      </c>
      <c r="D13" s="8">
        <v>0</v>
      </c>
      <c r="E13" s="28">
        <f t="shared" si="0"/>
        <v>-445825</v>
      </c>
      <c r="F13"/>
      <c r="G13"/>
      <c r="H13"/>
      <c r="I13" s="67"/>
      <c r="J13" s="67"/>
    </row>
    <row r="14" spans="1:11" s="10" customFormat="1" ht="15.75" x14ac:dyDescent="0.25">
      <c r="A14" s="19">
        <v>45911</v>
      </c>
      <c r="B14" s="32" t="s">
        <v>107</v>
      </c>
      <c r="C14" s="7">
        <v>140000</v>
      </c>
      <c r="D14" s="8">
        <v>0</v>
      </c>
      <c r="E14" s="28">
        <f t="shared" si="0"/>
        <v>-305825</v>
      </c>
      <c r="F14"/>
      <c r="G14"/>
      <c r="H14"/>
      <c r="I14" s="67"/>
      <c r="J14" s="68"/>
    </row>
    <row r="15" spans="1:11" s="10" customFormat="1" ht="15.75" x14ac:dyDescent="0.25">
      <c r="A15" s="19">
        <v>45911</v>
      </c>
      <c r="B15" s="32" t="s">
        <v>108</v>
      </c>
      <c r="C15" s="7">
        <v>600000</v>
      </c>
      <c r="D15" s="8">
        <v>0</v>
      </c>
      <c r="E15" s="28">
        <f t="shared" si="0"/>
        <v>294175</v>
      </c>
      <c r="F15"/>
      <c r="G15"/>
      <c r="H15"/>
      <c r="I15" s="67"/>
      <c r="J15" s="68"/>
    </row>
    <row r="16" spans="1:11" ht="15.75" x14ac:dyDescent="0.25">
      <c r="A16" s="20"/>
      <c r="B16" s="21" t="s">
        <v>8</v>
      </c>
      <c r="C16" s="22">
        <f>SUM(C12:C15)</f>
        <v>1240000</v>
      </c>
      <c r="D16" s="22">
        <f>SUM(D9:D15)</f>
        <v>0</v>
      </c>
      <c r="E16" s="27">
        <f>E15</f>
        <v>294175</v>
      </c>
      <c r="F16" s="9"/>
      <c r="I16" s="67"/>
      <c r="J16" s="68"/>
      <c r="K16" s="10"/>
    </row>
    <row r="17" spans="1:11" ht="15.75" x14ac:dyDescent="0.25">
      <c r="A17" s="20"/>
      <c r="B17" s="29"/>
      <c r="C17" s="30"/>
      <c r="D17" s="30"/>
      <c r="E17" s="31"/>
      <c r="I17" s="67"/>
      <c r="J17" s="68"/>
      <c r="K17" s="10"/>
    </row>
    <row r="18" spans="1:11" ht="15.75" x14ac:dyDescent="0.25">
      <c r="A18" s="20"/>
      <c r="B18" s="29"/>
      <c r="C18" s="30"/>
      <c r="D18" s="30"/>
      <c r="I18" s="67"/>
      <c r="J18" s="68"/>
      <c r="K18" s="10"/>
    </row>
    <row r="19" spans="1:11" ht="15.75" x14ac:dyDescent="0.25">
      <c r="A19" s="23"/>
      <c r="B19" s="25" t="s">
        <v>9</v>
      </c>
      <c r="C19" s="27">
        <f>E9</f>
        <v>-2577800</v>
      </c>
      <c r="D19" s="24"/>
      <c r="E19" s="9"/>
      <c r="F19" s="40"/>
      <c r="I19" s="67"/>
      <c r="J19" s="68"/>
      <c r="K19" s="10"/>
    </row>
    <row r="20" spans="1:11" ht="15.75" x14ac:dyDescent="0.25">
      <c r="A20" s="23"/>
      <c r="B20" s="25" t="s">
        <v>5</v>
      </c>
      <c r="C20" s="14">
        <f>C16</f>
        <v>1240000</v>
      </c>
      <c r="D20" s="24"/>
      <c r="I20" s="67"/>
      <c r="J20" s="68"/>
      <c r="K20" s="10"/>
    </row>
    <row r="21" spans="1:11" ht="15.75" x14ac:dyDescent="0.25">
      <c r="A21" s="23"/>
      <c r="B21" s="13" t="s">
        <v>64</v>
      </c>
      <c r="C21" s="12">
        <v>0</v>
      </c>
      <c r="D21" s="24"/>
      <c r="K21" s="10"/>
    </row>
    <row r="22" spans="1:11" ht="15.75" x14ac:dyDescent="0.25">
      <c r="A22" s="23"/>
      <c r="B22" s="22" t="s">
        <v>11</v>
      </c>
      <c r="C22" s="22">
        <f>C19+C20</f>
        <v>-1337800</v>
      </c>
      <c r="D22" s="24"/>
    </row>
    <row r="23" spans="1:11" ht="15.75" x14ac:dyDescent="0.25">
      <c r="A23" s="23"/>
      <c r="B23" s="34" t="s">
        <v>6</v>
      </c>
      <c r="C23" s="14">
        <f>+D16</f>
        <v>0</v>
      </c>
      <c r="D23" s="24"/>
    </row>
    <row r="24" spans="1:11" ht="15.75" x14ac:dyDescent="0.25">
      <c r="B24" s="22" t="s">
        <v>12</v>
      </c>
      <c r="C24" s="22">
        <f>E16</f>
        <v>294175</v>
      </c>
    </row>
    <row r="25" spans="1:11" ht="21" x14ac:dyDescent="0.35">
      <c r="C25" s="37"/>
      <c r="H25" s="9"/>
    </row>
    <row r="26" spans="1:11" x14ac:dyDescent="0.25">
      <c r="E26" s="39"/>
    </row>
    <row r="27" spans="1:11" ht="21" x14ac:dyDescent="0.35">
      <c r="B27" s="11" t="s">
        <v>13</v>
      </c>
      <c r="C27" s="37"/>
    </row>
    <row r="28" spans="1:11" x14ac:dyDescent="0.25">
      <c r="B28" s="11" t="s">
        <v>14</v>
      </c>
    </row>
    <row r="29" spans="1:11" x14ac:dyDescent="0.25">
      <c r="B29" s="11"/>
    </row>
    <row r="30" spans="1:11" ht="21" x14ac:dyDescent="0.35">
      <c r="C30" s="37"/>
    </row>
  </sheetData>
  <mergeCells count="4">
    <mergeCell ref="B2:D2"/>
    <mergeCell ref="B3:D3"/>
    <mergeCell ref="B4:D4"/>
    <mergeCell ref="A6:E6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79947-0AE1-E84A-8977-05708A9F9919}">
  <dimension ref="A1:K39"/>
  <sheetViews>
    <sheetView topLeftCell="A4" workbookViewId="0">
      <selection activeCell="I24" sqref="I24"/>
    </sheetView>
  </sheetViews>
  <sheetFormatPr baseColWidth="10" defaultColWidth="11.42578125" defaultRowHeight="15" x14ac:dyDescent="0.25"/>
  <cols>
    <col min="1" max="1" width="12.7109375" customWidth="1"/>
    <col min="2" max="2" width="66" bestFit="1" customWidth="1"/>
    <col min="3" max="3" width="14.42578125" customWidth="1"/>
    <col min="4" max="4" width="14" customWidth="1"/>
    <col min="5" max="5" width="16" customWidth="1"/>
    <col min="6" max="6" width="14.85546875" customWidth="1"/>
    <col min="8" max="8" width="11.42578125" bestFit="1" customWidth="1"/>
    <col min="9" max="9" width="30.42578125" bestFit="1" customWidth="1"/>
    <col min="10" max="10" width="14.42578125" bestFit="1" customWidth="1"/>
  </cols>
  <sheetData>
    <row r="1" spans="1:10" x14ac:dyDescent="0.25">
      <c r="A1" s="1"/>
      <c r="B1" s="1"/>
      <c r="C1" s="1"/>
      <c r="D1" s="1"/>
    </row>
    <row r="2" spans="1:10" x14ac:dyDescent="0.25">
      <c r="A2" s="2"/>
      <c r="B2" s="78" t="s">
        <v>0</v>
      </c>
      <c r="C2" s="79"/>
      <c r="D2" s="80"/>
      <c r="E2" s="3"/>
    </row>
    <row r="3" spans="1:10" x14ac:dyDescent="0.25">
      <c r="A3" s="2"/>
      <c r="B3" s="81" t="s">
        <v>1</v>
      </c>
      <c r="C3" s="82"/>
      <c r="D3" s="83"/>
      <c r="E3" s="4"/>
    </row>
    <row r="4" spans="1:10" ht="19.5" customHeight="1" x14ac:dyDescent="0.25">
      <c r="A4" s="2"/>
      <c r="B4" s="84" t="s">
        <v>2</v>
      </c>
      <c r="C4" s="85"/>
      <c r="D4" s="86"/>
      <c r="E4" s="35"/>
    </row>
    <row r="5" spans="1:10" x14ac:dyDescent="0.25">
      <c r="A5" s="1"/>
      <c r="B5" s="1"/>
      <c r="C5" s="1"/>
      <c r="D5" s="1"/>
    </row>
    <row r="6" spans="1:10" s="5" customFormat="1" ht="20.25" customHeight="1" x14ac:dyDescent="0.3">
      <c r="A6" s="87" t="s">
        <v>152</v>
      </c>
      <c r="B6" s="88"/>
      <c r="C6" s="88"/>
      <c r="D6" s="88"/>
      <c r="E6" s="89"/>
      <c r="F6"/>
      <c r="G6"/>
      <c r="H6"/>
      <c r="I6"/>
      <c r="J6"/>
    </row>
    <row r="7" spans="1:10" ht="15.75" x14ac:dyDescent="0.25">
      <c r="A7" s="1"/>
      <c r="B7" s="1"/>
      <c r="C7" s="1"/>
      <c r="D7" s="1"/>
      <c r="G7" s="45"/>
      <c r="H7" s="36"/>
      <c r="I7" s="36"/>
      <c r="J7" s="46"/>
    </row>
    <row r="8" spans="1:10" ht="24.75" customHeight="1" x14ac:dyDescent="0.25">
      <c r="A8" s="16" t="s">
        <v>3</v>
      </c>
      <c r="B8" s="16" t="s">
        <v>4</v>
      </c>
      <c r="C8" s="17" t="s">
        <v>5</v>
      </c>
      <c r="D8" s="18" t="s">
        <v>6</v>
      </c>
      <c r="E8" s="26" t="s">
        <v>7</v>
      </c>
    </row>
    <row r="9" spans="1:10" ht="15.75" x14ac:dyDescent="0.25">
      <c r="A9" s="19"/>
      <c r="B9" s="6" t="s">
        <v>9</v>
      </c>
      <c r="C9" s="7"/>
      <c r="D9" s="8"/>
      <c r="E9" s="22">
        <f>'CORTE SEPTIEMBRE 11-25 '!C24</f>
        <v>294175</v>
      </c>
      <c r="I9" s="72"/>
      <c r="J9" s="71"/>
    </row>
    <row r="10" spans="1:10" ht="15.75" x14ac:dyDescent="0.25">
      <c r="A10" s="19">
        <v>45931</v>
      </c>
      <c r="B10" s="6" t="s">
        <v>112</v>
      </c>
      <c r="C10" s="7">
        <v>1700200</v>
      </c>
      <c r="D10" s="8"/>
      <c r="E10" s="28">
        <f>E9+C10-D10</f>
        <v>1994375</v>
      </c>
      <c r="I10" s="72"/>
      <c r="J10" s="71"/>
    </row>
    <row r="11" spans="1:10" ht="15.75" x14ac:dyDescent="0.25">
      <c r="A11" s="19">
        <v>45932</v>
      </c>
      <c r="B11" s="6" t="s">
        <v>111</v>
      </c>
      <c r="C11" s="7">
        <v>120000</v>
      </c>
      <c r="D11" s="8"/>
      <c r="E11" s="28">
        <f t="shared" ref="E11:E12" si="0">E10+C11-D11</f>
        <v>2114375</v>
      </c>
      <c r="I11" s="72"/>
      <c r="J11" s="71"/>
    </row>
    <row r="12" spans="1:10" s="10" customFormat="1" ht="15.75" x14ac:dyDescent="0.25">
      <c r="A12" s="19">
        <v>45933</v>
      </c>
      <c r="B12" s="6" t="s">
        <v>113</v>
      </c>
      <c r="C12" s="7">
        <v>40000</v>
      </c>
      <c r="D12" s="8"/>
      <c r="E12" s="28">
        <f t="shared" si="0"/>
        <v>2154375</v>
      </c>
      <c r="F12"/>
      <c r="G12"/>
      <c r="H12"/>
      <c r="I12" s="72"/>
      <c r="J12" s="71"/>
    </row>
    <row r="13" spans="1:10" s="10" customFormat="1" ht="15.75" x14ac:dyDescent="0.25">
      <c r="A13" s="19">
        <v>45934</v>
      </c>
      <c r="B13" s="73" t="s">
        <v>114</v>
      </c>
      <c r="C13" s="7"/>
      <c r="D13" s="8">
        <v>600000</v>
      </c>
      <c r="E13" s="28">
        <f>E12+C13-D13</f>
        <v>1554375</v>
      </c>
      <c r="F13"/>
      <c r="G13"/>
      <c r="H13"/>
      <c r="I13" s="67"/>
      <c r="J13" s="67"/>
    </row>
    <row r="14" spans="1:10" s="10" customFormat="1" ht="15.75" x14ac:dyDescent="0.25">
      <c r="A14" s="19">
        <v>45935</v>
      </c>
      <c r="B14" s="6" t="s">
        <v>115</v>
      </c>
      <c r="C14" s="7">
        <v>120000</v>
      </c>
      <c r="D14" s="8"/>
      <c r="E14" s="28">
        <f t="shared" ref="E14:E23" si="1">E13+C14-D14</f>
        <v>1674375</v>
      </c>
      <c r="F14"/>
      <c r="G14"/>
      <c r="H14"/>
      <c r="I14" s="67"/>
      <c r="J14" s="68"/>
    </row>
    <row r="15" spans="1:10" s="10" customFormat="1" ht="15.75" x14ac:dyDescent="0.25">
      <c r="A15" s="19">
        <v>45946</v>
      </c>
      <c r="B15" s="6" t="s">
        <v>116</v>
      </c>
      <c r="C15" s="7"/>
      <c r="D15" s="8">
        <v>133200</v>
      </c>
      <c r="E15" s="28">
        <f t="shared" si="1"/>
        <v>1541175</v>
      </c>
      <c r="F15"/>
      <c r="G15"/>
      <c r="H15"/>
      <c r="I15" s="67"/>
      <c r="J15" s="68"/>
    </row>
    <row r="16" spans="1:10" s="10" customFormat="1" ht="15.75" x14ac:dyDescent="0.25">
      <c r="A16" s="19">
        <v>45946</v>
      </c>
      <c r="B16" s="6" t="s">
        <v>117</v>
      </c>
      <c r="C16" s="7"/>
      <c r="D16" s="8">
        <v>17290</v>
      </c>
      <c r="E16" s="28">
        <f t="shared" si="1"/>
        <v>1523885</v>
      </c>
      <c r="F16"/>
      <c r="G16"/>
      <c r="H16"/>
      <c r="I16" s="67"/>
      <c r="J16" s="68"/>
    </row>
    <row r="17" spans="1:11" s="10" customFormat="1" ht="15.75" x14ac:dyDescent="0.25">
      <c r="A17" s="19">
        <v>45949</v>
      </c>
      <c r="B17" s="6" t="s">
        <v>118</v>
      </c>
      <c r="C17" s="7"/>
      <c r="D17" s="8">
        <v>211762</v>
      </c>
      <c r="E17" s="28">
        <f t="shared" si="1"/>
        <v>1312123</v>
      </c>
      <c r="F17"/>
      <c r="G17"/>
      <c r="H17"/>
      <c r="I17" s="67"/>
      <c r="J17" s="68"/>
    </row>
    <row r="18" spans="1:11" s="10" customFormat="1" ht="15.75" x14ac:dyDescent="0.25">
      <c r="A18" s="19">
        <v>45949</v>
      </c>
      <c r="B18" s="6" t="s">
        <v>119</v>
      </c>
      <c r="C18" s="7"/>
      <c r="D18" s="8">
        <v>53144</v>
      </c>
      <c r="E18" s="28">
        <f t="shared" si="1"/>
        <v>1258979</v>
      </c>
      <c r="F18"/>
      <c r="G18"/>
      <c r="H18"/>
      <c r="I18" s="67"/>
      <c r="J18" s="68"/>
    </row>
    <row r="19" spans="1:11" s="10" customFormat="1" ht="15.75" x14ac:dyDescent="0.25">
      <c r="A19" s="19">
        <v>45949</v>
      </c>
      <c r="B19" s="6" t="s">
        <v>142</v>
      </c>
      <c r="C19" s="7"/>
      <c r="D19" s="8">
        <v>39800</v>
      </c>
      <c r="E19" s="28">
        <f t="shared" si="1"/>
        <v>1219179</v>
      </c>
      <c r="F19"/>
      <c r="G19"/>
      <c r="H19"/>
      <c r="I19" s="67"/>
      <c r="J19" s="68"/>
    </row>
    <row r="20" spans="1:11" s="10" customFormat="1" ht="15.75" x14ac:dyDescent="0.25">
      <c r="A20" s="19">
        <v>45949</v>
      </c>
      <c r="B20" s="6" t="s">
        <v>142</v>
      </c>
      <c r="C20" s="7"/>
      <c r="D20" s="8">
        <v>63200</v>
      </c>
      <c r="E20" s="28">
        <f t="shared" si="1"/>
        <v>1155979</v>
      </c>
      <c r="F20"/>
      <c r="G20"/>
      <c r="H20"/>
      <c r="I20" s="67"/>
      <c r="J20" s="68"/>
    </row>
    <row r="21" spans="1:11" s="10" customFormat="1" ht="15.75" x14ac:dyDescent="0.25">
      <c r="A21" s="19">
        <v>45954</v>
      </c>
      <c r="B21" s="6" t="s">
        <v>120</v>
      </c>
      <c r="C21" s="7"/>
      <c r="D21" s="8">
        <v>190000</v>
      </c>
      <c r="E21" s="28">
        <f t="shared" si="1"/>
        <v>965979</v>
      </c>
      <c r="F21"/>
      <c r="G21"/>
      <c r="H21"/>
      <c r="I21" s="67"/>
      <c r="J21" s="68"/>
    </row>
    <row r="22" spans="1:11" s="10" customFormat="1" ht="15.75" x14ac:dyDescent="0.25">
      <c r="A22" s="19">
        <v>45957</v>
      </c>
      <c r="B22" s="6" t="s">
        <v>121</v>
      </c>
      <c r="C22" s="7"/>
      <c r="D22" s="8">
        <v>464000</v>
      </c>
      <c r="E22" s="28">
        <f t="shared" si="1"/>
        <v>501979</v>
      </c>
      <c r="F22"/>
      <c r="G22"/>
      <c r="H22"/>
      <c r="I22" s="67"/>
      <c r="J22" s="68"/>
    </row>
    <row r="23" spans="1:11" s="10" customFormat="1" ht="15.75" x14ac:dyDescent="0.25">
      <c r="A23" s="19"/>
      <c r="B23" s="6" t="s">
        <v>143</v>
      </c>
      <c r="C23" s="7">
        <v>120000</v>
      </c>
      <c r="D23" s="8"/>
      <c r="E23" s="28">
        <f t="shared" si="1"/>
        <v>621979</v>
      </c>
      <c r="F23"/>
      <c r="G23"/>
      <c r="H23"/>
      <c r="I23" s="67"/>
      <c r="J23" s="68"/>
    </row>
    <row r="24" spans="1:11" s="10" customFormat="1" ht="15.75" x14ac:dyDescent="0.25">
      <c r="A24" s="19"/>
      <c r="B24" s="32"/>
      <c r="C24" s="7"/>
      <c r="D24" s="8"/>
      <c r="E24" s="28">
        <f>E23+C24-D24</f>
        <v>621979</v>
      </c>
      <c r="F24"/>
      <c r="G24"/>
      <c r="H24"/>
      <c r="I24" s="67"/>
      <c r="J24" s="68"/>
    </row>
    <row r="25" spans="1:11" ht="15.75" x14ac:dyDescent="0.25">
      <c r="A25" s="20"/>
      <c r="B25" s="21" t="s">
        <v>8</v>
      </c>
      <c r="C25" s="22">
        <f>SUM(C10:C24)</f>
        <v>2100200</v>
      </c>
      <c r="D25" s="22">
        <f>SUM(D9:D24)</f>
        <v>1772396</v>
      </c>
      <c r="E25" s="74">
        <f>E24</f>
        <v>621979</v>
      </c>
      <c r="F25" s="9"/>
      <c r="I25" s="67"/>
      <c r="J25" s="68"/>
      <c r="K25" s="10"/>
    </row>
    <row r="26" spans="1:11" ht="15.75" x14ac:dyDescent="0.25">
      <c r="A26" s="20"/>
      <c r="B26" s="29"/>
      <c r="C26" s="30"/>
      <c r="D26" s="30"/>
      <c r="E26" s="31"/>
      <c r="I26" s="67"/>
      <c r="J26" s="68"/>
      <c r="K26" s="10"/>
    </row>
    <row r="27" spans="1:11" ht="15.75" x14ac:dyDescent="0.25">
      <c r="A27" s="20"/>
      <c r="B27" s="29"/>
      <c r="C27" s="30"/>
      <c r="D27" s="30"/>
      <c r="I27" s="67"/>
      <c r="J27" s="68"/>
      <c r="K27" s="10"/>
    </row>
    <row r="28" spans="1:11" ht="15.75" x14ac:dyDescent="0.25">
      <c r="A28" s="23"/>
      <c r="B28" s="25" t="s">
        <v>9</v>
      </c>
      <c r="C28" s="27">
        <f>E9</f>
        <v>294175</v>
      </c>
      <c r="D28" s="24"/>
      <c r="E28" s="9"/>
      <c r="F28" s="40"/>
      <c r="I28" s="67"/>
      <c r="J28" s="75"/>
      <c r="K28" s="10"/>
    </row>
    <row r="29" spans="1:11" ht="15.75" x14ac:dyDescent="0.25">
      <c r="A29" s="23"/>
      <c r="B29" s="25" t="s">
        <v>5</v>
      </c>
      <c r="C29" s="14">
        <f>C25</f>
        <v>2100200</v>
      </c>
      <c r="D29" s="24"/>
      <c r="I29" s="67"/>
      <c r="J29" s="68"/>
      <c r="K29" s="67"/>
    </row>
    <row r="30" spans="1:11" ht="15.75" x14ac:dyDescent="0.25">
      <c r="A30" s="23"/>
      <c r="B30" s="13" t="s">
        <v>64</v>
      </c>
      <c r="C30" s="12">
        <v>0</v>
      </c>
      <c r="D30" s="24"/>
      <c r="J30" s="9"/>
      <c r="K30" s="10"/>
    </row>
    <row r="31" spans="1:11" ht="15.75" x14ac:dyDescent="0.25">
      <c r="A31" s="23"/>
      <c r="B31" s="22" t="s">
        <v>11</v>
      </c>
      <c r="C31" s="22">
        <f>C28+C29</f>
        <v>2394375</v>
      </c>
      <c r="D31" s="24"/>
    </row>
    <row r="32" spans="1:11" ht="15.75" x14ac:dyDescent="0.25">
      <c r="A32" s="23"/>
      <c r="B32" s="34" t="s">
        <v>6</v>
      </c>
      <c r="C32" s="14">
        <f>+D25</f>
        <v>1772396</v>
      </c>
      <c r="D32" s="24"/>
    </row>
    <row r="33" spans="2:8" ht="15.75" x14ac:dyDescent="0.25">
      <c r="B33" s="22" t="s">
        <v>12</v>
      </c>
      <c r="C33" s="22">
        <f>E25</f>
        <v>621979</v>
      </c>
    </row>
    <row r="34" spans="2:8" ht="21" x14ac:dyDescent="0.35">
      <c r="C34" s="37"/>
      <c r="H34" s="9"/>
    </row>
    <row r="35" spans="2:8" x14ac:dyDescent="0.25">
      <c r="E35" s="39"/>
    </row>
    <row r="36" spans="2:8" ht="21" x14ac:dyDescent="0.35">
      <c r="B36" s="11" t="s">
        <v>144</v>
      </c>
      <c r="C36" s="37"/>
    </row>
    <row r="37" spans="2:8" x14ac:dyDescent="0.25">
      <c r="B37" s="11" t="s">
        <v>14</v>
      </c>
    </row>
    <row r="38" spans="2:8" x14ac:dyDescent="0.25">
      <c r="B38" s="11"/>
    </row>
    <row r="39" spans="2:8" ht="21" x14ac:dyDescent="0.35">
      <c r="C39" s="37"/>
    </row>
  </sheetData>
  <mergeCells count="4">
    <mergeCell ref="B2:D2"/>
    <mergeCell ref="B3:D3"/>
    <mergeCell ref="B4:D4"/>
    <mergeCell ref="A6:E6"/>
  </mergeCell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D37522-46CE-4406-8410-4F072C5F97A6}">
  <dimension ref="A1:K50"/>
  <sheetViews>
    <sheetView tabSelected="1" topLeftCell="A6" workbookViewId="0">
      <selection activeCell="I49" sqref="I49:I50"/>
    </sheetView>
  </sheetViews>
  <sheetFormatPr baseColWidth="10" defaultColWidth="11.42578125" defaultRowHeight="15" x14ac:dyDescent="0.25"/>
  <cols>
    <col min="1" max="1" width="12.7109375" customWidth="1"/>
    <col min="2" max="2" width="78.42578125" bestFit="1" customWidth="1"/>
    <col min="3" max="3" width="14.42578125" customWidth="1"/>
    <col min="4" max="4" width="14" customWidth="1"/>
    <col min="5" max="5" width="16" customWidth="1"/>
    <col min="6" max="6" width="14.85546875" customWidth="1"/>
    <col min="8" max="8" width="11.42578125" bestFit="1" customWidth="1"/>
    <col min="9" max="9" width="25.85546875" bestFit="1" customWidth="1"/>
    <col min="10" max="10" width="14.42578125" bestFit="1" customWidth="1"/>
  </cols>
  <sheetData>
    <row r="1" spans="1:10" x14ac:dyDescent="0.25">
      <c r="A1" s="1"/>
      <c r="B1" s="1"/>
      <c r="C1" s="1"/>
      <c r="D1" s="1"/>
    </row>
    <row r="2" spans="1:10" x14ac:dyDescent="0.25">
      <c r="A2" s="2"/>
      <c r="B2" s="78" t="s">
        <v>0</v>
      </c>
      <c r="C2" s="79"/>
      <c r="D2" s="80"/>
      <c r="E2" s="3"/>
    </row>
    <row r="3" spans="1:10" x14ac:dyDescent="0.25">
      <c r="A3" s="2"/>
      <c r="B3" s="81" t="s">
        <v>1</v>
      </c>
      <c r="C3" s="82"/>
      <c r="D3" s="83"/>
      <c r="E3" s="4"/>
    </row>
    <row r="4" spans="1:10" ht="19.5" customHeight="1" x14ac:dyDescent="0.25">
      <c r="A4" s="2"/>
      <c r="B4" s="84" t="s">
        <v>2</v>
      </c>
      <c r="C4" s="85"/>
      <c r="D4" s="86"/>
      <c r="E4" s="35"/>
    </row>
    <row r="5" spans="1:10" x14ac:dyDescent="0.25">
      <c r="A5" s="1"/>
      <c r="B5" s="1"/>
      <c r="C5" s="1"/>
      <c r="D5" s="1"/>
    </row>
    <row r="6" spans="1:10" s="5" customFormat="1" ht="20.25" customHeight="1" x14ac:dyDescent="0.3">
      <c r="A6" s="87" t="s">
        <v>153</v>
      </c>
      <c r="B6" s="88"/>
      <c r="C6" s="88"/>
      <c r="D6" s="88"/>
      <c r="E6" s="89"/>
      <c r="F6"/>
      <c r="G6"/>
      <c r="H6"/>
      <c r="I6"/>
      <c r="J6"/>
    </row>
    <row r="7" spans="1:10" ht="15.75" x14ac:dyDescent="0.25">
      <c r="A7" s="1"/>
      <c r="B7" s="1"/>
      <c r="C7" s="1"/>
      <c r="D7" s="1"/>
      <c r="G7" s="45"/>
      <c r="H7" s="36"/>
      <c r="I7" s="36"/>
      <c r="J7" s="46"/>
    </row>
    <row r="8" spans="1:10" ht="24.75" customHeight="1" x14ac:dyDescent="0.25">
      <c r="A8" s="16" t="s">
        <v>3</v>
      </c>
      <c r="B8" s="16" t="s">
        <v>4</v>
      </c>
      <c r="C8" s="17" t="s">
        <v>5</v>
      </c>
      <c r="D8" s="18" t="s">
        <v>6</v>
      </c>
      <c r="E8" s="26" t="s">
        <v>7</v>
      </c>
    </row>
    <row r="9" spans="1:10" ht="15.75" x14ac:dyDescent="0.25">
      <c r="A9" s="19"/>
      <c r="B9" s="6" t="s">
        <v>9</v>
      </c>
      <c r="C9" s="7"/>
      <c r="D9" s="8"/>
      <c r="E9" s="22">
        <f>'CORTE OCTUBRE 15-25 '!C33</f>
        <v>621979</v>
      </c>
      <c r="I9" s="72"/>
      <c r="J9" s="71"/>
    </row>
    <row r="10" spans="1:10" ht="15.75" x14ac:dyDescent="0.25">
      <c r="A10" s="19">
        <v>45962</v>
      </c>
      <c r="B10" s="6" t="s">
        <v>123</v>
      </c>
      <c r="C10" s="7">
        <v>450000</v>
      </c>
      <c r="D10" s="8"/>
      <c r="E10" s="28">
        <f>E9+C10-D10</f>
        <v>1071979</v>
      </c>
      <c r="I10" s="72"/>
      <c r="J10" s="71"/>
    </row>
    <row r="11" spans="1:10" ht="15.75" x14ac:dyDescent="0.25">
      <c r="A11" s="19">
        <v>45963</v>
      </c>
      <c r="B11" s="6" t="s">
        <v>122</v>
      </c>
      <c r="C11" s="7">
        <v>80000</v>
      </c>
      <c r="D11" s="8"/>
      <c r="E11" s="28">
        <f t="shared" ref="E11:E35" si="0">E10+C11-D11</f>
        <v>1151979</v>
      </c>
      <c r="I11" s="72"/>
      <c r="J11" s="71"/>
    </row>
    <row r="12" spans="1:10" s="10" customFormat="1" ht="15.75" x14ac:dyDescent="0.25">
      <c r="A12" s="19">
        <v>45964</v>
      </c>
      <c r="B12" s="76" t="s">
        <v>124</v>
      </c>
      <c r="C12" s="7">
        <v>240000</v>
      </c>
      <c r="D12" s="8"/>
      <c r="E12" s="28">
        <f t="shared" si="0"/>
        <v>1391979</v>
      </c>
      <c r="F12"/>
      <c r="G12"/>
      <c r="H12"/>
      <c r="I12" s="72"/>
      <c r="J12" s="71"/>
    </row>
    <row r="13" spans="1:10" s="10" customFormat="1" ht="15.75" x14ac:dyDescent="0.25">
      <c r="A13" s="19">
        <v>45965</v>
      </c>
      <c r="B13" s="77" t="s">
        <v>125</v>
      </c>
      <c r="C13" s="7">
        <v>120000</v>
      </c>
      <c r="D13" s="8"/>
      <c r="E13" s="28">
        <f t="shared" si="0"/>
        <v>1511979</v>
      </c>
      <c r="F13"/>
      <c r="G13"/>
      <c r="H13"/>
      <c r="I13" s="67"/>
      <c r="J13" s="67"/>
    </row>
    <row r="14" spans="1:10" s="10" customFormat="1" ht="15.75" x14ac:dyDescent="0.25">
      <c r="A14" s="19">
        <v>45966</v>
      </c>
      <c r="B14" s="76" t="s">
        <v>126</v>
      </c>
      <c r="C14" s="7">
        <v>120000</v>
      </c>
      <c r="D14" s="8"/>
      <c r="E14" s="28">
        <f t="shared" si="0"/>
        <v>1631979</v>
      </c>
      <c r="F14"/>
      <c r="G14"/>
      <c r="H14"/>
      <c r="I14" s="67"/>
      <c r="J14" s="68"/>
    </row>
    <row r="15" spans="1:10" s="10" customFormat="1" ht="15.75" x14ac:dyDescent="0.25">
      <c r="A15" s="19">
        <v>45967</v>
      </c>
      <c r="B15" s="6" t="s">
        <v>129</v>
      </c>
      <c r="C15" s="7"/>
      <c r="D15" s="8">
        <v>400000</v>
      </c>
      <c r="E15" s="28">
        <f t="shared" si="0"/>
        <v>1231979</v>
      </c>
      <c r="F15"/>
      <c r="G15"/>
      <c r="H15"/>
      <c r="I15" s="67"/>
      <c r="J15" s="68"/>
    </row>
    <row r="16" spans="1:10" s="10" customFormat="1" ht="15.75" x14ac:dyDescent="0.25">
      <c r="A16" s="19">
        <v>45968</v>
      </c>
      <c r="B16" s="6" t="s">
        <v>127</v>
      </c>
      <c r="C16" s="7"/>
      <c r="D16" s="8">
        <v>180000</v>
      </c>
      <c r="E16" s="28">
        <f t="shared" si="0"/>
        <v>1051979</v>
      </c>
      <c r="F16"/>
      <c r="G16"/>
      <c r="H16"/>
      <c r="I16" s="67"/>
      <c r="J16" s="68"/>
    </row>
    <row r="17" spans="1:10" s="10" customFormat="1" ht="15.75" x14ac:dyDescent="0.25">
      <c r="A17" s="19">
        <v>45969</v>
      </c>
      <c r="B17" s="76" t="s">
        <v>128</v>
      </c>
      <c r="C17" s="7">
        <v>240000</v>
      </c>
      <c r="D17" s="8"/>
      <c r="E17" s="28">
        <f t="shared" si="0"/>
        <v>1291979</v>
      </c>
      <c r="F17"/>
      <c r="G17"/>
      <c r="H17"/>
      <c r="I17" s="67"/>
      <c r="J17" s="68"/>
    </row>
    <row r="18" spans="1:10" s="10" customFormat="1" ht="15.75" x14ac:dyDescent="0.25">
      <c r="A18" s="19">
        <v>45970</v>
      </c>
      <c r="B18" s="6" t="s">
        <v>130</v>
      </c>
      <c r="C18" s="7">
        <v>560000</v>
      </c>
      <c r="D18" s="8"/>
      <c r="E18" s="28">
        <f t="shared" si="0"/>
        <v>1851979</v>
      </c>
      <c r="F18"/>
      <c r="G18"/>
      <c r="H18"/>
      <c r="I18" s="67"/>
      <c r="J18" s="68"/>
    </row>
    <row r="19" spans="1:10" s="10" customFormat="1" ht="15.75" x14ac:dyDescent="0.25">
      <c r="A19" s="19">
        <v>45971</v>
      </c>
      <c r="B19" s="6" t="s">
        <v>131</v>
      </c>
      <c r="C19" s="7">
        <v>153578</v>
      </c>
      <c r="D19" s="8"/>
      <c r="E19" s="28">
        <f t="shared" si="0"/>
        <v>2005557</v>
      </c>
      <c r="F19"/>
      <c r="G19"/>
      <c r="H19"/>
      <c r="I19" s="67"/>
      <c r="J19" s="68"/>
    </row>
    <row r="20" spans="1:10" s="10" customFormat="1" ht="15.75" x14ac:dyDescent="0.25">
      <c r="A20" s="19">
        <v>45972</v>
      </c>
      <c r="B20" s="6" t="s">
        <v>133</v>
      </c>
      <c r="C20" s="7"/>
      <c r="D20" s="8">
        <v>153578</v>
      </c>
      <c r="E20" s="28">
        <f t="shared" si="0"/>
        <v>1851979</v>
      </c>
      <c r="F20"/>
      <c r="G20"/>
      <c r="H20"/>
      <c r="I20" s="67"/>
      <c r="J20" s="68"/>
    </row>
    <row r="21" spans="1:10" s="10" customFormat="1" ht="15.75" x14ac:dyDescent="0.25">
      <c r="A21" s="19">
        <v>45973</v>
      </c>
      <c r="B21" s="6" t="s">
        <v>132</v>
      </c>
      <c r="C21" s="7"/>
      <c r="D21" s="8">
        <v>18000</v>
      </c>
      <c r="E21" s="28">
        <f t="shared" si="0"/>
        <v>1833979</v>
      </c>
      <c r="F21"/>
      <c r="G21"/>
      <c r="H21"/>
      <c r="I21" s="67"/>
      <c r="J21" s="68"/>
    </row>
    <row r="22" spans="1:10" s="10" customFormat="1" ht="15.75" x14ac:dyDescent="0.25">
      <c r="A22" s="19">
        <v>45974</v>
      </c>
      <c r="B22" s="6" t="s">
        <v>134</v>
      </c>
      <c r="C22" s="7">
        <v>240000</v>
      </c>
      <c r="D22" s="8"/>
      <c r="E22" s="28">
        <f t="shared" si="0"/>
        <v>2073979</v>
      </c>
      <c r="F22"/>
      <c r="G22"/>
      <c r="H22"/>
      <c r="I22" s="67"/>
      <c r="J22" s="68"/>
    </row>
    <row r="23" spans="1:10" s="10" customFormat="1" ht="15.75" x14ac:dyDescent="0.25">
      <c r="A23" s="19">
        <v>45975</v>
      </c>
      <c r="B23" s="6" t="s">
        <v>135</v>
      </c>
      <c r="C23" s="7">
        <v>240000</v>
      </c>
      <c r="D23" s="8"/>
      <c r="E23" s="28">
        <f t="shared" si="0"/>
        <v>2313979</v>
      </c>
      <c r="F23"/>
      <c r="G23"/>
      <c r="H23"/>
      <c r="I23" s="67"/>
      <c r="J23" s="68"/>
    </row>
    <row r="24" spans="1:10" s="10" customFormat="1" ht="15.75" x14ac:dyDescent="0.25">
      <c r="A24" s="19">
        <v>45976</v>
      </c>
      <c r="B24" s="6" t="s">
        <v>136</v>
      </c>
      <c r="C24" s="7"/>
      <c r="D24" s="8">
        <v>80000</v>
      </c>
      <c r="E24" s="28">
        <f t="shared" si="0"/>
        <v>2233979</v>
      </c>
      <c r="F24"/>
      <c r="G24"/>
      <c r="H24"/>
      <c r="I24" s="67"/>
      <c r="J24" s="68"/>
    </row>
    <row r="25" spans="1:10" s="10" customFormat="1" ht="15.75" x14ac:dyDescent="0.25">
      <c r="A25" s="19">
        <v>45977</v>
      </c>
      <c r="B25" s="6" t="s">
        <v>138</v>
      </c>
      <c r="C25" s="7">
        <v>100000</v>
      </c>
      <c r="D25" s="8"/>
      <c r="E25" s="28">
        <f t="shared" si="0"/>
        <v>2333979</v>
      </c>
      <c r="F25"/>
      <c r="G25"/>
      <c r="H25"/>
      <c r="I25" s="67"/>
      <c r="J25" s="68"/>
    </row>
    <row r="26" spans="1:10" s="10" customFormat="1" ht="15.75" x14ac:dyDescent="0.25">
      <c r="A26" s="19">
        <v>45978</v>
      </c>
      <c r="B26" s="6" t="s">
        <v>137</v>
      </c>
      <c r="C26" s="7"/>
      <c r="D26" s="8">
        <v>90000</v>
      </c>
      <c r="E26" s="28">
        <f t="shared" si="0"/>
        <v>2243979</v>
      </c>
      <c r="F26"/>
      <c r="G26"/>
      <c r="H26"/>
      <c r="I26" s="67"/>
      <c r="J26" s="68"/>
    </row>
    <row r="27" spans="1:10" s="10" customFormat="1" ht="15.75" x14ac:dyDescent="0.25">
      <c r="A27" s="19">
        <v>45979</v>
      </c>
      <c r="B27" s="6" t="s">
        <v>139</v>
      </c>
      <c r="C27" s="7"/>
      <c r="D27" s="8">
        <v>55000</v>
      </c>
      <c r="E27" s="28">
        <f t="shared" si="0"/>
        <v>2188979</v>
      </c>
      <c r="F27"/>
      <c r="G27"/>
      <c r="H27"/>
      <c r="I27" s="67"/>
      <c r="J27" s="68"/>
    </row>
    <row r="28" spans="1:10" s="10" customFormat="1" ht="15.75" x14ac:dyDescent="0.25">
      <c r="A28" s="19">
        <v>45980</v>
      </c>
      <c r="B28" s="6" t="s">
        <v>140</v>
      </c>
      <c r="C28" s="7"/>
      <c r="D28" s="8">
        <v>1348216</v>
      </c>
      <c r="E28" s="28">
        <f t="shared" si="0"/>
        <v>840763</v>
      </c>
      <c r="F28"/>
      <c r="G28"/>
      <c r="H28"/>
      <c r="I28" s="67"/>
      <c r="J28" s="68"/>
    </row>
    <row r="29" spans="1:10" s="10" customFormat="1" ht="15.75" x14ac:dyDescent="0.25">
      <c r="A29" s="19">
        <v>45981</v>
      </c>
      <c r="B29" s="6" t="s">
        <v>141</v>
      </c>
      <c r="C29" s="7"/>
      <c r="D29" s="8">
        <v>1783702</v>
      </c>
      <c r="E29" s="28">
        <f t="shared" si="0"/>
        <v>-942939</v>
      </c>
      <c r="F29"/>
      <c r="G29"/>
      <c r="H29"/>
      <c r="I29" s="67"/>
      <c r="J29" s="68"/>
    </row>
    <row r="30" spans="1:10" s="10" customFormat="1" ht="15.75" x14ac:dyDescent="0.25">
      <c r="A30" s="19">
        <v>45982</v>
      </c>
      <c r="B30" s="6" t="s">
        <v>145</v>
      </c>
      <c r="C30" s="7">
        <v>240000</v>
      </c>
      <c r="D30" s="8"/>
      <c r="E30" s="28">
        <f t="shared" si="0"/>
        <v>-702939</v>
      </c>
      <c r="F30"/>
      <c r="G30"/>
      <c r="H30"/>
      <c r="I30" s="67"/>
      <c r="J30" s="68"/>
    </row>
    <row r="31" spans="1:10" s="10" customFormat="1" ht="15.75" x14ac:dyDescent="0.25">
      <c r="A31" s="19">
        <v>45983</v>
      </c>
      <c r="B31" s="6" t="s">
        <v>146</v>
      </c>
      <c r="C31" s="7">
        <v>217158</v>
      </c>
      <c r="D31" s="8"/>
      <c r="E31" s="28">
        <f t="shared" si="0"/>
        <v>-485781</v>
      </c>
      <c r="F31"/>
      <c r="G31"/>
      <c r="H31"/>
      <c r="I31" s="67"/>
      <c r="J31" s="68"/>
    </row>
    <row r="32" spans="1:10" s="10" customFormat="1" ht="15.75" x14ac:dyDescent="0.25">
      <c r="A32" s="19">
        <v>45984</v>
      </c>
      <c r="B32" s="6" t="s">
        <v>147</v>
      </c>
      <c r="C32" s="7"/>
      <c r="D32" s="8">
        <v>300000</v>
      </c>
      <c r="E32" s="28">
        <f t="shared" si="0"/>
        <v>-785781</v>
      </c>
      <c r="F32"/>
      <c r="G32"/>
      <c r="H32"/>
      <c r="I32" s="67"/>
      <c r="J32" s="68"/>
    </row>
    <row r="33" spans="1:11" s="10" customFormat="1" ht="15.75" x14ac:dyDescent="0.25">
      <c r="A33" s="19">
        <v>45985</v>
      </c>
      <c r="B33" s="76" t="s">
        <v>148</v>
      </c>
      <c r="C33" s="7">
        <v>100000</v>
      </c>
      <c r="D33" s="8"/>
      <c r="E33" s="28">
        <f t="shared" si="0"/>
        <v>-685781</v>
      </c>
      <c r="F33"/>
      <c r="G33"/>
      <c r="H33"/>
      <c r="I33" s="67"/>
      <c r="J33" s="68"/>
    </row>
    <row r="34" spans="1:11" s="10" customFormat="1" ht="15.75" x14ac:dyDescent="0.25">
      <c r="A34" s="19">
        <v>45986</v>
      </c>
      <c r="B34" s="6" t="s">
        <v>149</v>
      </c>
      <c r="C34" s="7">
        <v>160000</v>
      </c>
      <c r="D34" s="8"/>
      <c r="E34" s="28">
        <f t="shared" si="0"/>
        <v>-525781</v>
      </c>
      <c r="F34"/>
      <c r="G34"/>
      <c r="H34"/>
      <c r="I34" s="67"/>
      <c r="J34" s="68"/>
    </row>
    <row r="35" spans="1:11" s="10" customFormat="1" ht="15.75" x14ac:dyDescent="0.25">
      <c r="A35" s="19"/>
      <c r="B35" s="32"/>
      <c r="C35" s="7"/>
      <c r="D35" s="8"/>
      <c r="E35" s="28">
        <f t="shared" si="0"/>
        <v>-525781</v>
      </c>
      <c r="F35"/>
      <c r="G35"/>
      <c r="H35"/>
      <c r="I35" s="67"/>
      <c r="J35" s="68"/>
    </row>
    <row r="36" spans="1:11" ht="15.75" x14ac:dyDescent="0.25">
      <c r="A36" s="20"/>
      <c r="B36" s="21" t="s">
        <v>8</v>
      </c>
      <c r="C36" s="22">
        <f>SUM(C10:C35)</f>
        <v>3260736</v>
      </c>
      <c r="D36" s="22">
        <f>SUM(D9:D35)</f>
        <v>4408496</v>
      </c>
      <c r="E36" s="74">
        <f>E35</f>
        <v>-525781</v>
      </c>
      <c r="F36" s="9"/>
      <c r="I36" s="67"/>
      <c r="J36" s="68"/>
      <c r="K36" s="10"/>
    </row>
    <row r="37" spans="1:11" ht="15.75" x14ac:dyDescent="0.25">
      <c r="A37" s="20"/>
      <c r="B37" s="29"/>
      <c r="C37" s="30"/>
      <c r="D37" s="30"/>
      <c r="E37" s="31"/>
      <c r="I37" s="67"/>
      <c r="J37" s="68"/>
      <c r="K37" s="10"/>
    </row>
    <row r="38" spans="1:11" ht="15.75" x14ac:dyDescent="0.25">
      <c r="A38" s="20"/>
      <c r="B38" s="29"/>
      <c r="C38" s="30"/>
      <c r="D38" s="30"/>
      <c r="I38" s="67"/>
      <c r="J38" s="68"/>
      <c r="K38" s="10"/>
    </row>
    <row r="39" spans="1:11" ht="15.75" x14ac:dyDescent="0.25">
      <c r="A39" s="23"/>
      <c r="B39" s="25" t="s">
        <v>9</v>
      </c>
      <c r="C39" s="27">
        <f>E9</f>
        <v>621979</v>
      </c>
      <c r="D39" s="24"/>
      <c r="E39" s="9"/>
      <c r="F39" s="40"/>
      <c r="I39" s="67"/>
      <c r="J39" s="75"/>
      <c r="K39" s="10"/>
    </row>
    <row r="40" spans="1:11" ht="15.75" x14ac:dyDescent="0.25">
      <c r="A40" s="23"/>
      <c r="B40" s="25" t="s">
        <v>5</v>
      </c>
      <c r="C40" s="14">
        <f>C36</f>
        <v>3260736</v>
      </c>
      <c r="D40" s="24"/>
      <c r="I40" s="67"/>
      <c r="J40" s="68"/>
      <c r="K40" s="67"/>
    </row>
    <row r="41" spans="1:11" ht="15.75" x14ac:dyDescent="0.25">
      <c r="A41" s="23"/>
      <c r="B41" s="13" t="s">
        <v>64</v>
      </c>
      <c r="C41" s="12">
        <v>0</v>
      </c>
      <c r="D41" s="24"/>
      <c r="J41" s="9"/>
      <c r="K41" s="10"/>
    </row>
    <row r="42" spans="1:11" ht="15.75" x14ac:dyDescent="0.25">
      <c r="A42" s="23"/>
      <c r="B42" s="22" t="s">
        <v>11</v>
      </c>
      <c r="C42" s="22">
        <f>C39+C40</f>
        <v>3882715</v>
      </c>
      <c r="D42" s="24"/>
    </row>
    <row r="43" spans="1:11" ht="15.75" x14ac:dyDescent="0.25">
      <c r="A43" s="23"/>
      <c r="B43" s="34" t="s">
        <v>6</v>
      </c>
      <c r="C43" s="14">
        <f>+D36</f>
        <v>4408496</v>
      </c>
      <c r="D43" s="24"/>
    </row>
    <row r="44" spans="1:11" ht="15.75" x14ac:dyDescent="0.25">
      <c r="B44" s="22" t="s">
        <v>12</v>
      </c>
      <c r="C44" s="22">
        <f>E36</f>
        <v>-525781</v>
      </c>
    </row>
    <row r="45" spans="1:11" ht="21" x14ac:dyDescent="0.35">
      <c r="C45" s="37"/>
      <c r="H45" s="9"/>
    </row>
    <row r="46" spans="1:11" x14ac:dyDescent="0.25">
      <c r="E46" s="39"/>
    </row>
    <row r="47" spans="1:11" ht="21" x14ac:dyDescent="0.35">
      <c r="B47" s="11" t="s">
        <v>144</v>
      </c>
      <c r="C47" s="37"/>
    </row>
    <row r="48" spans="1:11" x14ac:dyDescent="0.25">
      <c r="B48" s="11" t="s">
        <v>14</v>
      </c>
    </row>
    <row r="49" spans="2:9" x14ac:dyDescent="0.25">
      <c r="B49" s="11"/>
      <c r="I49" s="53"/>
    </row>
    <row r="50" spans="2:9" ht="21" x14ac:dyDescent="0.35">
      <c r="C50" s="37"/>
      <c r="I50" s="53"/>
    </row>
  </sheetData>
  <mergeCells count="4">
    <mergeCell ref="B2:D2"/>
    <mergeCell ref="B3:D3"/>
    <mergeCell ref="B4:D4"/>
    <mergeCell ref="A6:E6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CORTE ENERO 20 -25</vt:lpstr>
      <vt:lpstr>CORTE FEBRERO 28-25</vt:lpstr>
      <vt:lpstr>CORTE MARZO 31-25</vt:lpstr>
      <vt:lpstr>CORTE ABRIL 30-25 </vt:lpstr>
      <vt:lpstr>CORTE MAYO 31-25</vt:lpstr>
      <vt:lpstr>CORTE JUNIO 30-25</vt:lpstr>
      <vt:lpstr>CORTE JULIO 31-25</vt:lpstr>
      <vt:lpstr>CORTE AGOSTO 31-25</vt:lpstr>
      <vt:lpstr>CORTE SEPTIEMBRE 11-25 </vt:lpstr>
      <vt:lpstr>CORTE OCTUBRE 15-25 </vt:lpstr>
      <vt:lpstr>CORTE NOVIEMBRE 30-25  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Luisa Ponce</dc:creator>
  <cp:keywords/>
  <dc:description/>
  <cp:lastModifiedBy>Daniel  Villamizar</cp:lastModifiedBy>
  <cp:revision/>
  <cp:lastPrinted>2025-05-08T04:16:50Z</cp:lastPrinted>
  <dcterms:created xsi:type="dcterms:W3CDTF">2024-06-05T23:33:21Z</dcterms:created>
  <dcterms:modified xsi:type="dcterms:W3CDTF">2026-01-22T19:07:29Z</dcterms:modified>
  <cp:category/>
  <cp:contentStatus/>
</cp:coreProperties>
</file>