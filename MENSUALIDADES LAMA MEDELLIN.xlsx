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grotecsas-my.sharepoint.com/personal/dvillamizar_magrotec_com/Documents/0- LAMA/TESORERIA/OCTUBRE 2025/"/>
    </mc:Choice>
  </mc:AlternateContent>
  <xr:revisionPtr revIDLastSave="14" documentId="13_ncr:1_{9D6F3DE8-7553-4279-8BF3-B2121D6E63B0}" xr6:coauthVersionLast="47" xr6:coauthVersionMax="47" xr10:uidLastSave="{F9B8316A-FC8B-4C25-AED8-6B8DFBED96D9}"/>
  <bookViews>
    <workbookView xWindow="13550" yWindow="-110" windowWidth="38620" windowHeight="21100" firstSheet="3" activeTab="6" xr2:uid="{00000000-000D-0000-FFFF-FFFF00000000}"/>
  </bookViews>
  <sheets>
    <sheet name="MAYO 2024 (2)" sheetId="20" r:id="rId1"/>
    <sheet name="JUNIO 2024" sheetId="21" r:id="rId2"/>
    <sheet name="NOVIEMBRE 2024" sheetId="23" r:id="rId3"/>
    <sheet name="DICIEMBRE 2024" sheetId="22" r:id="rId4"/>
    <sheet name="ENERO 2025" sheetId="26" r:id="rId5"/>
    <sheet name="FEBRERO 2025" sheetId="25" r:id="rId6"/>
    <sheet name="OCTUBRE 2025 PENDIENTES" sheetId="28" r:id="rId7"/>
    <sheet name="OCTUBRE 2025" sheetId="27" r:id="rId8"/>
    <sheet name="LISTADO ASISITENCIA" sheetId="19" r:id="rId9"/>
  </sheets>
  <definedNames>
    <definedName name="_xlnm.Print_Area" localSheetId="1">'JUNIO 2024'!$A$1:$P$33</definedName>
    <definedName name="_xlnm.Print_Area" localSheetId="8">'LISTADO ASISITENCIA'!$A$1:$E$35</definedName>
    <definedName name="_xlnm.Print_Area" localSheetId="0">'MAYO 2024 (2)'!$A$1:$P$30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8" l="1"/>
  <c r="C48" i="28"/>
  <c r="T24" i="28"/>
  <c r="S23" i="28"/>
  <c r="R23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30" i="28"/>
  <c r="T29" i="28"/>
  <c r="T6" i="28"/>
  <c r="T5" i="28"/>
  <c r="T4" i="28"/>
  <c r="T3" i="28"/>
  <c r="E30" i="27"/>
  <c r="T26" i="27"/>
  <c r="S25" i="27"/>
  <c r="R25" i="27"/>
  <c r="T23" i="27"/>
  <c r="T22" i="27"/>
  <c r="T21" i="27"/>
  <c r="T20" i="27"/>
  <c r="T19" i="27"/>
  <c r="T18" i="27"/>
  <c r="T17" i="27"/>
  <c r="T16" i="27"/>
  <c r="T15" i="27"/>
  <c r="T14" i="27"/>
  <c r="T13" i="27"/>
  <c r="T12" i="27"/>
  <c r="T11" i="27"/>
  <c r="T10" i="27"/>
  <c r="T9" i="27"/>
  <c r="T8" i="27"/>
  <c r="T7" i="27"/>
  <c r="T6" i="27"/>
  <c r="T5" i="27"/>
  <c r="T4" i="27"/>
  <c r="T3" i="27"/>
  <c r="G37" i="25"/>
  <c r="T21" i="25"/>
  <c r="T26" i="25"/>
  <c r="E30" i="25"/>
  <c r="C50" i="28" l="1"/>
  <c r="F30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3" i="26"/>
  <c r="T3" i="25" l="1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2" i="25"/>
  <c r="T23" i="25"/>
  <c r="S25" i="25" l="1"/>
  <c r="R25" i="25"/>
  <c r="Q27" i="22"/>
  <c r="P27" i="22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3" i="23"/>
  <c r="P31" i="23" s="1"/>
  <c r="P29" i="21"/>
  <c r="P30" i="21"/>
  <c r="R25" i="22"/>
  <c r="R24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4" i="22"/>
  <c r="R5" i="22"/>
  <c r="R6" i="22"/>
  <c r="R7" i="22"/>
  <c r="R8" i="22"/>
  <c r="R3" i="22"/>
  <c r="F30" i="22"/>
  <c r="T19" i="21" l="1"/>
  <c r="P27" i="21" l="1"/>
  <c r="P28" i="21"/>
  <c r="F36" i="21" l="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4" i="21"/>
  <c r="P3" i="21"/>
  <c r="P31" i="21" l="1"/>
  <c r="P9" i="20" l="1"/>
  <c r="P10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8" i="20"/>
  <c r="P7" i="20"/>
  <c r="P6" i="20"/>
  <c r="P5" i="20"/>
  <c r="P4" i="20"/>
  <c r="P3" i="20"/>
  <c r="P28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Yeison Gómez Salazar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Yeison Gómez Salazar:</t>
        </r>
        <r>
          <rPr>
            <sz val="9"/>
            <color indexed="81"/>
            <rFont val="Tahoma"/>
            <family val="2"/>
          </rPr>
          <t xml:space="preserve">
Paga cuotas de enero y febrero 2024 / 19/03/2024 paga cuota mes de marzo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Mario</author>
    <author>Yeison Gómez Salazar</author>
  </authors>
  <commentList>
    <comment ref="C3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B5" authorId="1" shapeId="0" xr:uid="{F6296138-389C-C843-8B53-1867604738EF}">
      <text>
        <r>
          <rPr>
            <b/>
            <sz val="10"/>
            <color rgb="FF000000"/>
            <rFont val="Tahoma"/>
            <family val="2"/>
          </rPr>
          <t>Mario: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HACER RECIBO DE 130.000
</t>
        </r>
      </text>
    </comment>
    <comment ref="B12" authorId="1" shapeId="0" xr:uid="{C271A33A-587A-9F4B-8BA3-823BFDDD856F}">
      <text>
        <r>
          <rPr>
            <b/>
            <sz val="10"/>
            <color rgb="FF000000"/>
            <rFont val="Tahoma"/>
            <family val="2"/>
          </rPr>
          <t>Mario: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RECIBO DE 60.000
</t>
        </r>
      </text>
    </comment>
    <comment ref="C22" authorId="2" shapeId="0" xr:uid="{00000000-0006-0000-0300-000002000000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Mario</author>
    <author>Yeison Gómez Salazar</author>
  </authors>
  <commentList>
    <comment ref="C3" authorId="0" shapeId="0" xr:uid="{B4556584-AD61-5D43-AE21-08893AD0863C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B5" authorId="1" shapeId="0" xr:uid="{AB7F8FA4-591C-234A-95AC-6FC8A3810F99}">
      <text>
        <r>
          <rPr>
            <b/>
            <sz val="10"/>
            <color rgb="FF000000"/>
            <rFont val="Tahoma"/>
            <family val="2"/>
          </rPr>
          <t>Mario: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HACER RECIBO DE 130.000
</t>
        </r>
      </text>
    </comment>
    <comment ref="B12" authorId="1" shapeId="0" xr:uid="{941B5D37-E718-224A-A816-26BFFD4E9FA0}">
      <text>
        <r>
          <rPr>
            <b/>
            <sz val="10"/>
            <color rgb="FF000000"/>
            <rFont val="Tahoma"/>
            <family val="2"/>
          </rPr>
          <t>Mario: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RECIBO DE 60.000
</t>
        </r>
      </text>
    </comment>
    <comment ref="C22" authorId="2" shapeId="0" xr:uid="{ABAB7CE6-B0E2-8E49-8672-D0BEA7F56E54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Yeison Gómez Salazar</author>
  </authors>
  <commentList>
    <comment ref="C3" authorId="0" shapeId="0" xr:uid="{150DB89F-32F6-B041-BA7F-12AD7BF9B729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C19" authorId="1" shapeId="0" xr:uid="{4584EF6D-1C54-F24E-8FF4-548AC4A91DAB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Yeison Gómez Salazar</author>
  </authors>
  <commentList>
    <comment ref="D3" authorId="0" shapeId="0" xr:uid="{5F5A8422-FC27-A240-8353-38957F0A1A99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D17" authorId="1" shapeId="0" xr:uid="{79EBD2B2-9CDC-C446-96E8-AE6D361C770D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Yeison Gómez Salazar</author>
  </authors>
  <commentList>
    <comment ref="D3" authorId="0" shapeId="0" xr:uid="{3F26F782-71D7-42D2-93F5-E089669D5C84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D15" authorId="1" shapeId="0" xr:uid="{2F8E39CB-33C6-4417-BE09-FD27D12A18AE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Luisa Ponce</author>
    <author>Yeison Gómez Salazar</author>
  </authors>
  <commentList>
    <comment ref="D3" authorId="0" shapeId="0" xr:uid="{3E5E325A-BBD9-4AF4-8EAD-11D60EA42678}">
      <text>
        <r>
          <rPr>
            <b/>
            <sz val="9"/>
            <color rgb="FF000000"/>
            <rFont val="Tahoma"/>
            <family val="2"/>
          </rPr>
          <t>Luisa Ponce: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18/06/2024 se cruza pago de 15 dolares con mensualidades de Julio, agosto y septiembre 2024</t>
        </r>
      </text>
    </comment>
    <comment ref="D17" authorId="1" shapeId="0" xr:uid="{9FCB8012-E31A-4C1C-847D-F45D7FE4AAA3}">
      <text>
        <r>
          <rPr>
            <b/>
            <sz val="9"/>
            <color rgb="FF000000"/>
            <rFont val="Tahoma"/>
            <family val="2"/>
          </rPr>
          <t>Yeison Gómez Salazar: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Paga cuotas de enero y febrero 2024 / 19/03/2024 paga cuota mes de marzo </t>
        </r>
      </text>
    </comment>
  </commentList>
</comments>
</file>

<file path=xl/sharedStrings.xml><?xml version="1.0" encoding="utf-8"?>
<sst xmlns="http://schemas.openxmlformats.org/spreadsheetml/2006/main" count="420" uniqueCount="87">
  <si>
    <t>MENSUALIDAD POR COBRAR</t>
  </si>
  <si>
    <t>JUL</t>
  </si>
  <si>
    <t>CAPITULO LAMA MEDELLIN</t>
  </si>
  <si>
    <t>RAMÓN ANTONIO GONZALEZ CASTAÑO</t>
  </si>
  <si>
    <t>MILTON DARIO GÓMEZ RIVERA</t>
  </si>
  <si>
    <t>CARLOS MARIO DIAZ</t>
  </si>
  <si>
    <t>HECTOR MARIO GONZALEZ HENAO</t>
  </si>
  <si>
    <t>CESAR LEONEL RODRIGUEZ GALAN</t>
  </si>
  <si>
    <t>JHON HARVEY GÓMEZ PATIÑO</t>
  </si>
  <si>
    <t>WILLIAM HUMBERTO JIMÉNEZ PÉREZ</t>
  </si>
  <si>
    <t>MARIO ALBERTO JIMÉNEZ PARRA</t>
  </si>
  <si>
    <t>CAMILO IVAN ORTEGON MELO</t>
  </si>
  <si>
    <t>CARLOS ALBERTO ARAQUE BETANCUR</t>
  </si>
  <si>
    <t>ALEXANDER BETANCUR MEJIA</t>
  </si>
  <si>
    <t>CARLOS MARIO CEBALLOS</t>
  </si>
  <si>
    <t>CARLOS ANDRES PEREZ AREIZA</t>
  </si>
  <si>
    <t>JUAN ESTEBAN SUAREZ CORREA</t>
  </si>
  <si>
    <t>JOSÉ EDINSON OSPINA CRUZ</t>
  </si>
  <si>
    <t>JEFFERSON MONTOYA MUÑOZ</t>
  </si>
  <si>
    <t>ROBINSON GALVIS</t>
  </si>
  <si>
    <t>JHON ENMANUEL ARZUZA PÁEZ</t>
  </si>
  <si>
    <t>GIRLESA MARÍA BUITRAGO</t>
  </si>
  <si>
    <t>JUAN OSORIO</t>
  </si>
  <si>
    <t>OBSERVACIONES</t>
  </si>
  <si>
    <t># DE RECIBO</t>
  </si>
  <si>
    <t>AÑO 2024</t>
  </si>
  <si>
    <t>ENE</t>
  </si>
  <si>
    <t>MAR</t>
  </si>
  <si>
    <t>ABR</t>
  </si>
  <si>
    <t>MAY</t>
  </si>
  <si>
    <t>JUN</t>
  </si>
  <si>
    <t>AGO</t>
  </si>
  <si>
    <t>SEP</t>
  </si>
  <si>
    <t>OCT</t>
  </si>
  <si>
    <t>NOV</t>
  </si>
  <si>
    <t>DIC</t>
  </si>
  <si>
    <t>FECHA DE PAGO</t>
  </si>
  <si>
    <t>HERNANDO VILLADA</t>
  </si>
  <si>
    <t>YEFERSON USUGA</t>
  </si>
  <si>
    <t>SEBASTIAN PAREJA</t>
  </si>
  <si>
    <t>JHON DAVID SANCHEZ</t>
  </si>
  <si>
    <t>Pago cuotas 1er semestre 2024</t>
  </si>
  <si>
    <t xml:space="preserve">FREDY ALEXANDER MARÍN </t>
  </si>
  <si>
    <t>FEB</t>
  </si>
  <si>
    <t>20/01/20024</t>
  </si>
  <si>
    <t>ACUMULADO</t>
  </si>
  <si>
    <t>Pago cuotas ene, feb y mar 2024</t>
  </si>
  <si>
    <t>TOTAL APORTES</t>
  </si>
  <si>
    <t>LATIN AMERICAN MOTORCYCLE ASSOCIATION</t>
  </si>
  <si>
    <t>"¡HERMAN@S PARA HACER HERMAN@S!"</t>
  </si>
  <si>
    <t>FIRMA</t>
  </si>
  <si>
    <t>LISTADO DE ASISTENCIA ASAMBLEA No.__ .- FECHA: MES _______ DEL DIA___ DEL 2024</t>
  </si>
  <si>
    <t>MIEMBROS</t>
  </si>
  <si>
    <t>DAANIEL  VILLAMIZAR</t>
  </si>
  <si>
    <t>ANGELA MARIA RODRIGUEZ</t>
  </si>
  <si>
    <t>TOTAL</t>
  </si>
  <si>
    <t>CARLOS JULIO MOVIE</t>
  </si>
  <si>
    <t>FIESTA</t>
  </si>
  <si>
    <t>HOSPEDAJE</t>
  </si>
  <si>
    <t xml:space="preserve">MILTON </t>
  </si>
  <si>
    <t>INSCRIPCION  2025</t>
  </si>
  <si>
    <t>X</t>
  </si>
  <si>
    <t>AÑO 2025</t>
  </si>
  <si>
    <t>JHON JARVEY GÓMEZ PATIÑO</t>
  </si>
  <si>
    <t>DANIEL  VILLAMIZAR</t>
  </si>
  <si>
    <t>CARLOS MARIO DIAZ DIAZ</t>
  </si>
  <si>
    <t>MILTON  DARIO GOMEZ RIVERA</t>
  </si>
  <si>
    <t>LAURA VIVIAN ASALAZAR MORENO</t>
  </si>
  <si>
    <t>WILLIAM HUMBERTO JIMENEZ PEREZ</t>
  </si>
  <si>
    <t>JENNIFER  ANDREA CARDONA BENITEZ</t>
  </si>
  <si>
    <t>JOSE JULIAN VILLAMIZAR ARAQUE</t>
  </si>
  <si>
    <t>PAGO DE PARCHES JHON DAVID SANCHEZ</t>
  </si>
  <si>
    <t>PAGO MEMBRESI CARLOS DIAZ Y LINDA ZULETA</t>
  </si>
  <si>
    <t>PAGO MEMBRESIA WILLIAM JIMENEZ</t>
  </si>
  <si>
    <t>1 AUXILIO DAMAS LAMA ANGELA RODRIGUEZ</t>
  </si>
  <si>
    <t>DEUDA</t>
  </si>
  <si>
    <t>A FAVOR</t>
  </si>
  <si>
    <t>CONCEPTO</t>
  </si>
  <si>
    <t>PAGO DE PARCHES (ROCKETS + DAMA + ALAS + COL + MED) ANGELA MARIA RODRIGUEZ</t>
  </si>
  <si>
    <t>PAGO MEMBRESIA ASOCIADO 40 USD</t>
  </si>
  <si>
    <t>PAGO MEMBRESIA NATALIA GOMEZ (CAPA)</t>
  </si>
  <si>
    <t>ROBINSON ALEHANDRO GALVIS PARRA</t>
  </si>
  <si>
    <t>CARLOS JULIO RENDÓN DÍAZ</t>
  </si>
  <si>
    <t>DANIEL ANDREY VILLAMIZAR ARAQUE</t>
  </si>
  <si>
    <t>JUAN ESTEBAN OSORIO</t>
  </si>
  <si>
    <t>YEFERSON BAIRÓN USUGA AGUDELO</t>
  </si>
  <si>
    <t>GUSTAVO ADOLFO GÓMEZ ZULUAGA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</si>
</sst>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-* #,##0.00_-;\-* #,##0.00_-;_-* &quot;-&quot;_-;_-@_-"/>
    <numFmt numFmtId="166" formatCode="&quot;$&quot;#,##0"/>
  </numFmts>
  <fonts count="27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Times New Roman"/>
      <family val="1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25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3" fillId="0" borderId="1" xfId="1" applyFon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/>
    <xf numFmtId="165" fontId="0" fillId="0" borderId="0" xfId="0" applyNumberFormat="1"/>
    <xf numFmtId="164" fontId="0" fillId="0" borderId="0" xfId="1" applyFont="1"/>
    <xf numFmtId="0" fontId="11" fillId="0" borderId="0" xfId="0" applyFont="1" applyAlignment="1">
      <alignment vertical="center"/>
    </xf>
    <xf numFmtId="0" fontId="0" fillId="4" borderId="8" xfId="0" applyFill="1" applyBorder="1"/>
    <xf numFmtId="0" fontId="0" fillId="4" borderId="11" xfId="0" applyFill="1" applyBorder="1"/>
    <xf numFmtId="0" fontId="0" fillId="4" borderId="2" xfId="0" applyFill="1" applyBorder="1"/>
    <xf numFmtId="0" fontId="14" fillId="0" borderId="0" xfId="0" applyFont="1"/>
    <xf numFmtId="0" fontId="5" fillId="0" borderId="0" xfId="0" applyFont="1" applyAlignment="1">
      <alignment vertical="center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5" fillId="0" borderId="1" xfId="0" quotePrefix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left"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15" fillId="0" borderId="1" xfId="0" quotePrefix="1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>
      <alignment horizontal="left" vertical="center" wrapText="1"/>
    </xf>
    <xf numFmtId="0" fontId="15" fillId="0" borderId="1" xfId="0" quotePrefix="1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 applyProtection="1">
      <alignment horizontal="left" vertical="center" wrapText="1"/>
      <protection locked="0"/>
    </xf>
    <xf numFmtId="164" fontId="17" fillId="0" borderId="1" xfId="1" applyFont="1" applyBorder="1" applyAlignment="1" applyProtection="1">
      <alignment horizontal="left" vertical="center" wrapText="1"/>
      <protection locked="0"/>
    </xf>
    <xf numFmtId="164" fontId="17" fillId="0" borderId="1" xfId="1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>
      <alignment horizontal="left" vertical="center" wrapText="1"/>
    </xf>
    <xf numFmtId="164" fontId="17" fillId="0" borderId="1" xfId="1" applyFont="1" applyBorder="1" applyAlignment="1">
      <alignment horizontal="left" vertical="center" wrapText="1"/>
    </xf>
    <xf numFmtId="164" fontId="17" fillId="0" borderId="1" xfId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164" fontId="3" fillId="5" borderId="1" xfId="1" applyFont="1" applyFill="1" applyBorder="1" applyAlignment="1">
      <alignment horizontal="center" vertical="center" wrapText="1"/>
    </xf>
    <xf numFmtId="0" fontId="23" fillId="6" borderId="1" xfId="0" applyFont="1" applyFill="1" applyBorder="1" applyAlignment="1" applyProtection="1">
      <alignment horizontal="left" vertical="center" wrapText="1"/>
      <protection locked="0"/>
    </xf>
    <xf numFmtId="14" fontId="23" fillId="6" borderId="1" xfId="0" applyNumberFormat="1" applyFont="1" applyFill="1" applyBorder="1" applyAlignment="1" applyProtection="1">
      <alignment horizontal="center" vertical="center" wrapText="1"/>
      <protection locked="0"/>
    </xf>
    <xf numFmtId="164" fontId="23" fillId="6" borderId="1" xfId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left" vertical="center"/>
    </xf>
    <xf numFmtId="14" fontId="24" fillId="6" borderId="1" xfId="0" applyNumberFormat="1" applyFont="1" applyFill="1" applyBorder="1" applyAlignment="1" applyProtection="1">
      <alignment horizontal="center" vertical="center" wrapText="1"/>
      <protection locked="0"/>
    </xf>
    <xf numFmtId="164" fontId="24" fillId="6" borderId="1" xfId="1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left" vertical="center" wrapText="1"/>
    </xf>
    <xf numFmtId="164" fontId="3" fillId="8" borderId="1" xfId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1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left" vertical="top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6" fillId="10" borderId="0" xfId="0" quotePrefix="1" applyFont="1" applyFill="1" applyAlignment="1">
      <alignment horizontal="center" vertical="center" wrapText="1"/>
    </xf>
    <xf numFmtId="164" fontId="3" fillId="4" borderId="1" xfId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 applyProtection="1">
      <alignment horizontal="left" vertical="center" wrapText="1"/>
      <protection locked="0"/>
    </xf>
    <xf numFmtId="0" fontId="1" fillId="11" borderId="1" xfId="0" applyFont="1" applyFill="1" applyBorder="1" applyAlignment="1">
      <alignment horizontal="left" vertical="center" wrapText="1"/>
    </xf>
    <xf numFmtId="164" fontId="8" fillId="0" borderId="0" xfId="0" applyNumberFormat="1" applyFont="1" applyAlignment="1">
      <alignment horizontal="left" vertical="top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wrapText="1"/>
    </xf>
    <xf numFmtId="164" fontId="3" fillId="11" borderId="1" xfId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25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164" fontId="3" fillId="13" borderId="1" xfId="1" applyFont="1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top"/>
    </xf>
    <xf numFmtId="164" fontId="8" fillId="0" borderId="1" xfId="0" applyNumberFormat="1" applyFont="1" applyBorder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center" vertical="top"/>
    </xf>
    <xf numFmtId="164" fontId="8" fillId="13" borderId="1" xfId="0" applyNumberFormat="1" applyFont="1" applyFill="1" applyBorder="1" applyAlignment="1">
      <alignment horizontal="left" vertical="top"/>
    </xf>
    <xf numFmtId="0" fontId="0" fillId="4" borderId="1" xfId="0" applyFill="1" applyBorder="1"/>
    <xf numFmtId="164" fontId="0" fillId="4" borderId="1" xfId="1" applyFont="1" applyFill="1" applyBorder="1"/>
    <xf numFmtId="0" fontId="0" fillId="4" borderId="1" xfId="0" applyFill="1" applyBorder="1" applyAlignment="1">
      <alignment horizontal="left"/>
    </xf>
    <xf numFmtId="0" fontId="26" fillId="4" borderId="1" xfId="0" applyFont="1" applyFill="1" applyBorder="1"/>
    <xf numFmtId="0" fontId="3" fillId="6" borderId="1" xfId="0" applyFont="1" applyFill="1" applyBorder="1" applyAlignment="1">
      <alignment horizontal="center" vertical="top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164" fontId="7" fillId="4" borderId="1" xfId="1" applyFont="1" applyFill="1" applyBorder="1"/>
    <xf numFmtId="164" fontId="3" fillId="0" borderId="0" xfId="0" applyNumberFormat="1" applyFont="1" applyAlignment="1">
      <alignment horizontal="left" vertical="top"/>
    </xf>
    <xf numFmtId="0" fontId="3" fillId="6" borderId="1" xfId="0" applyFont="1" applyFill="1" applyBorder="1" applyAlignment="1">
      <alignment horizontal="left" vertical="center"/>
    </xf>
    <xf numFmtId="164" fontId="3" fillId="6" borderId="1" xfId="1" applyFont="1" applyFill="1" applyBorder="1" applyAlignment="1">
      <alignment horizontal="center" vertical="center" wrapText="1"/>
    </xf>
    <xf numFmtId="0" fontId="6" fillId="2" borderId="3" xfId="0" quotePrefix="1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4" xfId="0" quotePrefix="1" applyFont="1" applyFill="1" applyBorder="1" applyAlignment="1">
      <alignment horizontal="center" vertical="center" wrapText="1"/>
    </xf>
    <xf numFmtId="0" fontId="6" fillId="10" borderId="3" xfId="0" quotePrefix="1" applyFont="1" applyFill="1" applyBorder="1" applyAlignment="1">
      <alignment horizontal="center" vertical="center" wrapText="1"/>
    </xf>
    <xf numFmtId="0" fontId="6" fillId="10" borderId="5" xfId="0" quotePrefix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1" fontId="4" fillId="0" borderId="0" xfId="0" applyNumberFormat="1" applyFont="1" applyBorder="1" applyAlignment="1">
      <alignment horizontal="center" vertical="center" shrinkToFit="1"/>
    </xf>
    <xf numFmtId="0" fontId="8" fillId="14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80736</xdr:colOff>
      <xdr:row>0</xdr:row>
      <xdr:rowOff>85726</xdr:rowOff>
    </xdr:from>
    <xdr:ext cx="871763" cy="838200"/>
    <xdr:pic>
      <xdr:nvPicPr>
        <xdr:cNvPr id="2" name="1 Imagen">
          <a:extLst>
            <a:ext uri="{FF2B5EF4-FFF2-40B4-BE49-F238E27FC236}">
              <a16:creationId xmlns:a16="http://schemas.microsoft.com/office/drawing/2014/main" id="{BAD08D10-E669-41FB-B476-F11CCC2F02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6" y="85726"/>
          <a:ext cx="871763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zoomScale="85" zoomScaleNormal="85" workbookViewId="0">
      <selection activeCell="B15" sqref="B15"/>
    </sheetView>
  </sheetViews>
  <sheetFormatPr baseColWidth="10" defaultColWidth="12" defaultRowHeight="12.75" x14ac:dyDescent="0.2"/>
  <cols>
    <col min="1" max="1" width="6.33203125" style="1" customWidth="1"/>
    <col min="2" max="2" width="55" style="1" customWidth="1"/>
    <col min="3" max="3" width="20.6640625" style="7" hidden="1" customWidth="1"/>
    <col min="4" max="4" width="12.6640625" style="1" customWidth="1"/>
    <col min="5" max="9" width="11.33203125" style="1" bestFit="1" customWidth="1"/>
    <col min="10" max="15" width="12" style="3"/>
    <col min="16" max="16" width="18.1640625" style="3" customWidth="1"/>
    <col min="17" max="16384" width="12" style="3"/>
  </cols>
  <sheetData>
    <row r="1" spans="1:16" ht="20.100000000000001" customHeight="1" x14ac:dyDescent="0.2">
      <c r="A1" s="19"/>
      <c r="B1" s="19"/>
      <c r="C1" s="20"/>
      <c r="D1" s="109" t="s">
        <v>25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/>
    </row>
    <row r="2" spans="1:16" s="2" customFormat="1" x14ac:dyDescent="0.2">
      <c r="A2" s="21"/>
      <c r="B2" s="22" t="s">
        <v>0</v>
      </c>
      <c r="C2" s="22" t="s">
        <v>36</v>
      </c>
      <c r="D2" s="22" t="s">
        <v>26</v>
      </c>
      <c r="E2" s="22" t="s">
        <v>43</v>
      </c>
      <c r="F2" s="22" t="s">
        <v>27</v>
      </c>
      <c r="G2" s="22" t="s">
        <v>28</v>
      </c>
      <c r="H2" s="22" t="s">
        <v>29</v>
      </c>
      <c r="I2" s="22" t="s">
        <v>30</v>
      </c>
      <c r="J2" s="22" t="s">
        <v>1</v>
      </c>
      <c r="K2" s="22" t="s">
        <v>31</v>
      </c>
      <c r="L2" s="22" t="s">
        <v>32</v>
      </c>
      <c r="M2" s="22" t="s">
        <v>33</v>
      </c>
      <c r="N2" s="22" t="s">
        <v>34</v>
      </c>
      <c r="O2" s="22" t="s">
        <v>35</v>
      </c>
      <c r="P2" s="23" t="s">
        <v>45</v>
      </c>
    </row>
    <row r="3" spans="1:16" s="6" customFormat="1" ht="18.75" customHeight="1" x14ac:dyDescent="0.2">
      <c r="A3" s="8">
        <v>1</v>
      </c>
      <c r="B3" s="9" t="s">
        <v>3</v>
      </c>
      <c r="C3" s="10">
        <v>45303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11"/>
      <c r="K3" s="11"/>
      <c r="L3" s="11"/>
      <c r="M3" s="11"/>
      <c r="N3" s="11"/>
      <c r="O3" s="11"/>
      <c r="P3" s="12">
        <f>+SUM(D3:O3)</f>
        <v>60000</v>
      </c>
    </row>
    <row r="4" spans="1:16" s="6" customFormat="1" ht="18.75" customHeight="1" x14ac:dyDescent="0.2">
      <c r="A4" s="8">
        <v>2</v>
      </c>
      <c r="B4" s="9" t="s">
        <v>4</v>
      </c>
      <c r="C4" s="10" t="s">
        <v>44</v>
      </c>
      <c r="D4" s="4">
        <v>10000</v>
      </c>
      <c r="E4" s="4">
        <v>10000</v>
      </c>
      <c r="F4" s="4">
        <v>10000</v>
      </c>
      <c r="G4" s="4">
        <v>10000</v>
      </c>
      <c r="H4" s="4">
        <v>10000</v>
      </c>
      <c r="I4" s="4">
        <v>10000</v>
      </c>
      <c r="J4" s="11"/>
      <c r="K4" s="11"/>
      <c r="L4" s="11"/>
      <c r="M4" s="11"/>
      <c r="N4" s="11"/>
      <c r="O4" s="11"/>
      <c r="P4" s="12">
        <f t="shared" ref="P4:P26" si="0">+SUM(D4:O4)</f>
        <v>60000</v>
      </c>
    </row>
    <row r="5" spans="1:16" s="6" customFormat="1" ht="18.75" customHeight="1" x14ac:dyDescent="0.2">
      <c r="A5" s="8">
        <v>3</v>
      </c>
      <c r="B5" s="9" t="s">
        <v>5</v>
      </c>
      <c r="C5" s="10"/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4"/>
      <c r="J5" s="11"/>
      <c r="K5" s="11"/>
      <c r="L5" s="11"/>
      <c r="M5" s="11"/>
      <c r="N5" s="11"/>
      <c r="O5" s="11"/>
      <c r="P5" s="12">
        <f t="shared" si="0"/>
        <v>50000</v>
      </c>
    </row>
    <row r="6" spans="1:16" s="6" customFormat="1" ht="18.75" customHeight="1" x14ac:dyDescent="0.2">
      <c r="A6" s="8">
        <v>4</v>
      </c>
      <c r="B6" s="9" t="s">
        <v>6</v>
      </c>
      <c r="C6" s="10">
        <v>45360</v>
      </c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11"/>
      <c r="K6" s="11"/>
      <c r="L6" s="11"/>
      <c r="M6" s="11"/>
      <c r="N6" s="11"/>
      <c r="O6" s="11"/>
      <c r="P6" s="12">
        <f t="shared" si="0"/>
        <v>60000</v>
      </c>
    </row>
    <row r="7" spans="1:16" s="6" customFormat="1" ht="18.75" customHeight="1" x14ac:dyDescent="0.2">
      <c r="A7" s="8">
        <v>5</v>
      </c>
      <c r="B7" s="9" t="s">
        <v>7</v>
      </c>
      <c r="C7" s="10"/>
      <c r="D7" s="4"/>
      <c r="E7" s="4"/>
      <c r="F7" s="4"/>
      <c r="G7" s="4"/>
      <c r="H7" s="4"/>
      <c r="I7" s="4"/>
      <c r="J7" s="11"/>
      <c r="K7" s="11"/>
      <c r="L7" s="11"/>
      <c r="M7" s="11"/>
      <c r="N7" s="11"/>
      <c r="O7" s="11"/>
      <c r="P7" s="12">
        <f t="shared" si="0"/>
        <v>0</v>
      </c>
    </row>
    <row r="8" spans="1:16" s="6" customFormat="1" ht="18.75" customHeight="1" x14ac:dyDescent="0.2">
      <c r="A8" s="8">
        <v>6</v>
      </c>
      <c r="B8" s="9" t="s">
        <v>8</v>
      </c>
      <c r="C8" s="10">
        <v>45403</v>
      </c>
      <c r="D8" s="4">
        <v>10000</v>
      </c>
      <c r="E8" s="4">
        <v>10000</v>
      </c>
      <c r="F8" s="4">
        <v>10000</v>
      </c>
      <c r="G8" s="4">
        <v>10000</v>
      </c>
      <c r="H8" s="4">
        <v>10000</v>
      </c>
      <c r="I8" s="4">
        <v>10000</v>
      </c>
      <c r="J8" s="11"/>
      <c r="K8" s="11"/>
      <c r="L8" s="11"/>
      <c r="M8" s="11"/>
      <c r="N8" s="11"/>
      <c r="O8" s="11"/>
      <c r="P8" s="12">
        <f t="shared" si="0"/>
        <v>60000</v>
      </c>
    </row>
    <row r="9" spans="1:16" s="6" customFormat="1" ht="18.75" customHeight="1" x14ac:dyDescent="0.2">
      <c r="A9" s="8">
        <v>7</v>
      </c>
      <c r="B9" s="9" t="s">
        <v>9</v>
      </c>
      <c r="C9" s="10"/>
      <c r="D9" s="4"/>
      <c r="E9" s="4"/>
      <c r="F9" s="4"/>
      <c r="G9" s="4"/>
      <c r="H9" s="4"/>
      <c r="I9" s="4"/>
      <c r="J9" s="11"/>
      <c r="K9" s="11"/>
      <c r="L9" s="11"/>
      <c r="M9" s="11"/>
      <c r="N9" s="11"/>
      <c r="O9" s="11"/>
      <c r="P9" s="12">
        <f t="shared" si="0"/>
        <v>0</v>
      </c>
    </row>
    <row r="10" spans="1:16" s="6" customFormat="1" ht="18.75" customHeight="1" x14ac:dyDescent="0.2">
      <c r="A10" s="8">
        <v>8</v>
      </c>
      <c r="B10" s="9" t="s">
        <v>10</v>
      </c>
      <c r="C10" s="10">
        <v>45412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11"/>
      <c r="K10" s="11"/>
      <c r="L10" s="11"/>
      <c r="M10" s="11"/>
      <c r="N10" s="11"/>
      <c r="O10" s="11"/>
      <c r="P10" s="12">
        <f t="shared" si="0"/>
        <v>60000</v>
      </c>
    </row>
    <row r="11" spans="1:16" s="6" customFormat="1" ht="18.75" customHeight="1" x14ac:dyDescent="0.2">
      <c r="A11" s="8">
        <v>9</v>
      </c>
      <c r="B11" s="9" t="s">
        <v>11</v>
      </c>
      <c r="C11" s="10">
        <v>45412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11"/>
      <c r="K11" s="11"/>
      <c r="L11" s="11"/>
      <c r="M11" s="11"/>
      <c r="N11" s="11"/>
      <c r="O11" s="11"/>
      <c r="P11" s="12">
        <f t="shared" si="0"/>
        <v>60000</v>
      </c>
    </row>
    <row r="12" spans="1:16" s="6" customFormat="1" ht="18.75" customHeight="1" x14ac:dyDescent="0.2">
      <c r="A12" s="8">
        <v>10</v>
      </c>
      <c r="B12" s="9" t="s">
        <v>12</v>
      </c>
      <c r="C12" s="10">
        <v>45403</v>
      </c>
      <c r="D12" s="4">
        <v>10000</v>
      </c>
      <c r="E12" s="4">
        <v>10000</v>
      </c>
      <c r="F12" s="4">
        <v>10000</v>
      </c>
      <c r="G12" s="4">
        <v>10000</v>
      </c>
      <c r="H12" s="4">
        <v>10000</v>
      </c>
      <c r="I12" s="4">
        <v>10000</v>
      </c>
      <c r="J12" s="4">
        <v>10000</v>
      </c>
      <c r="K12" s="4">
        <v>10000</v>
      </c>
      <c r="L12" s="4">
        <v>10000</v>
      </c>
      <c r="M12" s="4">
        <v>10000</v>
      </c>
      <c r="N12" s="4">
        <v>10000</v>
      </c>
      <c r="O12" s="4">
        <v>10000</v>
      </c>
      <c r="P12" s="12">
        <f t="shared" si="0"/>
        <v>120000</v>
      </c>
    </row>
    <row r="13" spans="1:16" s="6" customFormat="1" ht="18.75" customHeight="1" x14ac:dyDescent="0.2">
      <c r="A13" s="8">
        <v>11</v>
      </c>
      <c r="B13" s="9" t="s">
        <v>13</v>
      </c>
      <c r="C13" s="10"/>
      <c r="D13" s="4"/>
      <c r="E13" s="4"/>
      <c r="F13" s="4"/>
      <c r="G13" s="4"/>
      <c r="H13" s="4"/>
      <c r="I13" s="4"/>
      <c r="J13" s="11"/>
      <c r="K13" s="11"/>
      <c r="L13" s="11"/>
      <c r="M13" s="11"/>
      <c r="N13" s="11"/>
      <c r="O13" s="11"/>
      <c r="P13" s="12">
        <f t="shared" si="0"/>
        <v>0</v>
      </c>
    </row>
    <row r="14" spans="1:16" s="6" customFormat="1" ht="18.75" customHeight="1" x14ac:dyDescent="0.2">
      <c r="A14" s="8">
        <v>12</v>
      </c>
      <c r="B14" s="9" t="s">
        <v>14</v>
      </c>
      <c r="C14" s="10"/>
      <c r="D14" s="4"/>
      <c r="E14" s="4"/>
      <c r="F14" s="4"/>
      <c r="G14" s="4"/>
      <c r="H14" s="4"/>
      <c r="I14" s="4"/>
      <c r="J14" s="11"/>
      <c r="K14" s="11"/>
      <c r="L14" s="11"/>
      <c r="M14" s="11"/>
      <c r="N14" s="11"/>
      <c r="O14" s="11"/>
      <c r="P14" s="12">
        <f t="shared" si="0"/>
        <v>0</v>
      </c>
    </row>
    <row r="15" spans="1:16" s="6" customFormat="1" ht="18.75" customHeight="1" x14ac:dyDescent="0.2">
      <c r="A15" s="8">
        <v>13</v>
      </c>
      <c r="B15" s="9" t="s">
        <v>15</v>
      </c>
      <c r="C15" s="10">
        <v>45404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11"/>
      <c r="K15" s="11"/>
      <c r="L15" s="11"/>
      <c r="M15" s="11"/>
      <c r="N15" s="11"/>
      <c r="O15" s="11"/>
      <c r="P15" s="12">
        <f t="shared" si="0"/>
        <v>60000</v>
      </c>
    </row>
    <row r="16" spans="1:16" s="6" customFormat="1" ht="18.75" customHeight="1" x14ac:dyDescent="0.2">
      <c r="A16" s="8">
        <v>14</v>
      </c>
      <c r="B16" s="9" t="s">
        <v>16</v>
      </c>
      <c r="C16" s="10"/>
      <c r="D16" s="4"/>
      <c r="E16" s="4"/>
      <c r="F16" s="4"/>
      <c r="G16" s="4"/>
      <c r="H16" s="4"/>
      <c r="I16" s="4"/>
      <c r="J16" s="11"/>
      <c r="K16" s="11"/>
      <c r="L16" s="11"/>
      <c r="M16" s="11"/>
      <c r="N16" s="11"/>
      <c r="O16" s="11"/>
      <c r="P16" s="12">
        <f t="shared" si="0"/>
        <v>0</v>
      </c>
    </row>
    <row r="17" spans="1:16" s="6" customFormat="1" ht="18.75" customHeight="1" x14ac:dyDescent="0.2">
      <c r="A17" s="8">
        <v>15</v>
      </c>
      <c r="B17" s="9" t="s">
        <v>42</v>
      </c>
      <c r="C17" s="10"/>
      <c r="D17" s="4"/>
      <c r="E17" s="4"/>
      <c r="F17" s="4"/>
      <c r="G17" s="4"/>
      <c r="H17" s="4"/>
      <c r="I17" s="4"/>
      <c r="J17" s="11"/>
      <c r="K17" s="11"/>
      <c r="L17" s="11"/>
      <c r="M17" s="11"/>
      <c r="N17" s="11"/>
      <c r="O17" s="11"/>
      <c r="P17" s="12">
        <f t="shared" si="0"/>
        <v>0</v>
      </c>
    </row>
    <row r="18" spans="1:16" s="6" customFormat="1" ht="18.75" customHeight="1" x14ac:dyDescent="0.2">
      <c r="A18" s="8">
        <v>16</v>
      </c>
      <c r="B18" s="9" t="s">
        <v>17</v>
      </c>
      <c r="C18" s="10">
        <v>45403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11"/>
      <c r="K18" s="11"/>
      <c r="L18" s="11"/>
      <c r="M18" s="11"/>
      <c r="N18" s="11"/>
      <c r="O18" s="11"/>
      <c r="P18" s="12">
        <f t="shared" si="0"/>
        <v>60000</v>
      </c>
    </row>
    <row r="19" spans="1:16" s="6" customFormat="1" ht="18.75" customHeight="1" x14ac:dyDescent="0.2">
      <c r="A19" s="8">
        <v>17</v>
      </c>
      <c r="B19" s="9" t="s">
        <v>18</v>
      </c>
      <c r="C19" s="10"/>
      <c r="D19" s="4"/>
      <c r="E19" s="4"/>
      <c r="F19" s="4"/>
      <c r="G19" s="4"/>
      <c r="H19" s="4"/>
      <c r="I19" s="4"/>
      <c r="J19" s="11"/>
      <c r="K19" s="11"/>
      <c r="L19" s="11"/>
      <c r="M19" s="11"/>
      <c r="N19" s="11"/>
      <c r="O19" s="11"/>
      <c r="P19" s="12">
        <f t="shared" si="0"/>
        <v>0</v>
      </c>
    </row>
    <row r="20" spans="1:16" s="6" customFormat="1" ht="18.75" customHeight="1" x14ac:dyDescent="0.2">
      <c r="A20" s="8">
        <v>18</v>
      </c>
      <c r="B20" s="9" t="s">
        <v>19</v>
      </c>
      <c r="C20" s="10"/>
      <c r="D20" s="4"/>
      <c r="E20" s="4"/>
      <c r="F20" s="4"/>
      <c r="G20" s="4"/>
      <c r="H20" s="4"/>
      <c r="I20" s="4"/>
      <c r="J20" s="11"/>
      <c r="K20" s="11"/>
      <c r="L20" s="11"/>
      <c r="M20" s="11"/>
      <c r="N20" s="11"/>
      <c r="O20" s="11"/>
      <c r="P20" s="12">
        <f t="shared" si="0"/>
        <v>0</v>
      </c>
    </row>
    <row r="21" spans="1:16" s="6" customFormat="1" ht="18.75" customHeight="1" x14ac:dyDescent="0.2">
      <c r="A21" s="8">
        <v>19</v>
      </c>
      <c r="B21" s="9" t="s">
        <v>20</v>
      </c>
      <c r="C21" s="10">
        <v>45404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11"/>
      <c r="K21" s="11"/>
      <c r="L21" s="11"/>
      <c r="M21" s="11"/>
      <c r="N21" s="11"/>
      <c r="O21" s="11"/>
      <c r="P21" s="12">
        <f t="shared" si="0"/>
        <v>60000</v>
      </c>
    </row>
    <row r="22" spans="1:16" s="6" customFormat="1" ht="18.75" customHeight="1" x14ac:dyDescent="0.2">
      <c r="A22" s="8">
        <v>20</v>
      </c>
      <c r="B22" s="9" t="s">
        <v>21</v>
      </c>
      <c r="C22" s="10">
        <v>45325</v>
      </c>
      <c r="D22" s="4">
        <v>10000</v>
      </c>
      <c r="E22" s="4">
        <v>10000</v>
      </c>
      <c r="F22" s="4">
        <v>10000</v>
      </c>
      <c r="G22" s="4"/>
      <c r="H22" s="4"/>
      <c r="I22" s="4"/>
      <c r="J22" s="11"/>
      <c r="K22" s="11"/>
      <c r="L22" s="11"/>
      <c r="M22" s="11"/>
      <c r="N22" s="11"/>
      <c r="O22" s="11"/>
      <c r="P22" s="12">
        <f t="shared" si="0"/>
        <v>30000</v>
      </c>
    </row>
    <row r="23" spans="1:16" s="6" customFormat="1" ht="18.75" customHeight="1" x14ac:dyDescent="0.2">
      <c r="A23" s="8">
        <v>21</v>
      </c>
      <c r="B23" s="9" t="s">
        <v>22</v>
      </c>
      <c r="C23" s="10"/>
      <c r="D23" s="4"/>
      <c r="E23" s="4"/>
      <c r="F23" s="4"/>
      <c r="G23" s="4"/>
      <c r="H23" s="4"/>
      <c r="I23" s="4"/>
      <c r="J23" s="11"/>
      <c r="K23" s="11"/>
      <c r="L23" s="11"/>
      <c r="M23" s="11"/>
      <c r="N23" s="11"/>
      <c r="O23" s="11"/>
      <c r="P23" s="12">
        <f t="shared" si="0"/>
        <v>0</v>
      </c>
    </row>
    <row r="24" spans="1:16" s="6" customFormat="1" ht="18.75" customHeight="1" x14ac:dyDescent="0.2">
      <c r="A24" s="8">
        <v>22</v>
      </c>
      <c r="B24" s="9" t="s">
        <v>37</v>
      </c>
      <c r="C24" s="10">
        <v>45403</v>
      </c>
      <c r="D24" s="4">
        <v>10000</v>
      </c>
      <c r="E24" s="4">
        <v>10000</v>
      </c>
      <c r="F24" s="4">
        <v>10000</v>
      </c>
      <c r="G24" s="4">
        <v>10000</v>
      </c>
      <c r="H24" s="4">
        <v>10000</v>
      </c>
      <c r="I24" s="4">
        <v>10000</v>
      </c>
      <c r="J24" s="11"/>
      <c r="K24" s="11"/>
      <c r="L24" s="11"/>
      <c r="M24" s="11"/>
      <c r="N24" s="11"/>
      <c r="O24" s="11"/>
      <c r="P24" s="12">
        <f t="shared" si="0"/>
        <v>60000</v>
      </c>
    </row>
    <row r="25" spans="1:16" s="6" customFormat="1" ht="18.75" customHeight="1" x14ac:dyDescent="0.2">
      <c r="A25" s="8">
        <v>23</v>
      </c>
      <c r="B25" s="13" t="s">
        <v>38</v>
      </c>
      <c r="C25" s="14">
        <v>45403</v>
      </c>
      <c r="D25" s="4">
        <v>10000</v>
      </c>
      <c r="E25" s="4">
        <v>10000</v>
      </c>
      <c r="F25" s="4">
        <v>10000</v>
      </c>
      <c r="G25" s="4">
        <v>10000</v>
      </c>
      <c r="H25" s="4">
        <v>10000</v>
      </c>
      <c r="I25" s="4">
        <v>10000</v>
      </c>
      <c r="J25" s="11"/>
      <c r="K25" s="11"/>
      <c r="L25" s="11"/>
      <c r="M25" s="11"/>
      <c r="N25" s="11"/>
      <c r="O25" s="11"/>
      <c r="P25" s="12">
        <f t="shared" si="0"/>
        <v>60000</v>
      </c>
    </row>
    <row r="26" spans="1:16" s="6" customFormat="1" ht="18.75" customHeight="1" x14ac:dyDescent="0.2">
      <c r="A26" s="8">
        <v>24</v>
      </c>
      <c r="B26" s="13" t="s">
        <v>39</v>
      </c>
      <c r="C26" s="14">
        <v>45405</v>
      </c>
      <c r="D26" s="4">
        <v>10000</v>
      </c>
      <c r="E26" s="4">
        <v>10000</v>
      </c>
      <c r="F26" s="4">
        <v>10000</v>
      </c>
      <c r="G26" s="4">
        <v>10000</v>
      </c>
      <c r="H26" s="4"/>
      <c r="I26" s="4"/>
      <c r="J26" s="11"/>
      <c r="K26" s="11"/>
      <c r="L26" s="11"/>
      <c r="M26" s="11"/>
      <c r="N26" s="11"/>
      <c r="O26" s="11"/>
      <c r="P26" s="12">
        <f t="shared" si="0"/>
        <v>40000</v>
      </c>
    </row>
    <row r="27" spans="1:16" s="6" customFormat="1" ht="18.75" customHeight="1" x14ac:dyDescent="0.2">
      <c r="A27" s="8">
        <v>25</v>
      </c>
      <c r="B27" s="13" t="s">
        <v>40</v>
      </c>
      <c r="C27" s="15"/>
      <c r="D27" s="5"/>
      <c r="E27" s="5"/>
      <c r="F27" s="5"/>
      <c r="G27" s="5"/>
      <c r="H27" s="5"/>
      <c r="I27" s="5"/>
      <c r="J27" s="11"/>
      <c r="K27" s="11"/>
      <c r="L27" s="11"/>
      <c r="M27" s="11"/>
      <c r="N27" s="11"/>
      <c r="O27" s="17"/>
      <c r="P27" s="18"/>
    </row>
    <row r="28" spans="1:16" s="6" customFormat="1" ht="18.75" customHeight="1" x14ac:dyDescent="0.2">
      <c r="A28" s="8"/>
      <c r="B28" s="13"/>
      <c r="C28" s="15"/>
      <c r="D28" s="5"/>
      <c r="E28" s="5"/>
      <c r="F28" s="5"/>
      <c r="G28" s="5"/>
      <c r="H28" s="5"/>
      <c r="I28" s="5"/>
      <c r="J28" s="11"/>
      <c r="K28" s="11"/>
      <c r="L28" s="11"/>
      <c r="M28" s="11"/>
      <c r="N28" s="24"/>
      <c r="O28" s="25" t="s">
        <v>47</v>
      </c>
      <c r="P28" s="26">
        <f>SUM(P3:P27)</f>
        <v>900000</v>
      </c>
    </row>
  </sheetData>
  <mergeCells count="1">
    <mergeCell ref="D1:P1"/>
  </mergeCells>
  <pageMargins left="0.7" right="0.7" top="0.75" bottom="0.75" header="0.3" footer="0.3"/>
  <pageSetup paperSize="9" scale="5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"/>
  <sheetViews>
    <sheetView zoomScale="86" zoomScaleNormal="85" workbookViewId="0">
      <selection activeCell="C1" sqref="C1:C1048576"/>
    </sheetView>
  </sheetViews>
  <sheetFormatPr baseColWidth="10" defaultColWidth="12" defaultRowHeight="12.75" x14ac:dyDescent="0.2"/>
  <cols>
    <col min="1" max="1" width="6.33203125" style="1" customWidth="1"/>
    <col min="2" max="2" width="55" style="1" customWidth="1"/>
    <col min="3" max="3" width="20.6640625" style="7" hidden="1" customWidth="1"/>
    <col min="4" max="4" width="12.6640625" style="1" customWidth="1"/>
    <col min="5" max="9" width="11.33203125" style="1" bestFit="1" customWidth="1"/>
    <col min="10" max="15" width="12" style="3"/>
    <col min="16" max="16" width="18.1640625" style="3" customWidth="1"/>
    <col min="17" max="16384" width="12" style="3"/>
  </cols>
  <sheetData>
    <row r="1" spans="1:16" ht="20.100000000000001" customHeight="1" x14ac:dyDescent="0.2">
      <c r="A1" s="19"/>
      <c r="B1" s="19"/>
      <c r="C1" s="20"/>
      <c r="D1" s="109" t="s">
        <v>25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/>
    </row>
    <row r="2" spans="1:16" s="2" customFormat="1" x14ac:dyDescent="0.2">
      <c r="A2" s="21"/>
      <c r="B2" s="22" t="s">
        <v>0</v>
      </c>
      <c r="C2" s="22" t="s">
        <v>36</v>
      </c>
      <c r="D2" s="22" t="s">
        <v>26</v>
      </c>
      <c r="E2" s="22" t="s">
        <v>43</v>
      </c>
      <c r="F2" s="22" t="s">
        <v>27</v>
      </c>
      <c r="G2" s="22" t="s">
        <v>28</v>
      </c>
      <c r="H2" s="22" t="s">
        <v>29</v>
      </c>
      <c r="I2" s="22" t="s">
        <v>30</v>
      </c>
      <c r="J2" s="22" t="s">
        <v>1</v>
      </c>
      <c r="K2" s="22" t="s">
        <v>31</v>
      </c>
      <c r="L2" s="22" t="s">
        <v>32</v>
      </c>
      <c r="M2" s="22" t="s">
        <v>33</v>
      </c>
      <c r="N2" s="22" t="s">
        <v>34</v>
      </c>
      <c r="O2" s="22" t="s">
        <v>35</v>
      </c>
      <c r="P2" s="23" t="s">
        <v>45</v>
      </c>
    </row>
    <row r="3" spans="1:16" s="6" customFormat="1" ht="18.75" customHeight="1" x14ac:dyDescent="0.2">
      <c r="A3" s="8">
        <v>1</v>
      </c>
      <c r="B3" s="9" t="s">
        <v>3</v>
      </c>
      <c r="C3" s="10">
        <v>45461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4">
        <v>20000</v>
      </c>
      <c r="K3" s="4">
        <v>20000</v>
      </c>
      <c r="L3" s="4">
        <v>20000</v>
      </c>
      <c r="M3" s="4">
        <v>20000</v>
      </c>
      <c r="N3" s="4">
        <v>20000</v>
      </c>
      <c r="O3" s="4">
        <v>20000</v>
      </c>
      <c r="P3" s="12">
        <f>+SUM(D3:O3)</f>
        <v>180000</v>
      </c>
    </row>
    <row r="4" spans="1:16" s="6" customFormat="1" ht="18.75" customHeight="1" x14ac:dyDescent="0.2">
      <c r="A4" s="8"/>
      <c r="B4" s="56" t="s">
        <v>4</v>
      </c>
      <c r="C4" s="57">
        <v>45311</v>
      </c>
      <c r="D4" s="58">
        <v>10000</v>
      </c>
      <c r="E4" s="58">
        <v>10000</v>
      </c>
      <c r="F4" s="58">
        <v>10000</v>
      </c>
      <c r="G4" s="58">
        <v>10000</v>
      </c>
      <c r="H4" s="58">
        <v>10000</v>
      </c>
      <c r="I4" s="58">
        <v>10000</v>
      </c>
      <c r="J4" s="59"/>
      <c r="K4" s="59"/>
      <c r="L4" s="59"/>
      <c r="M4" s="59"/>
      <c r="N4" s="59"/>
      <c r="O4" s="59"/>
      <c r="P4" s="12">
        <f t="shared" ref="P4:P30" si="0">+SUM(D4:O4)</f>
        <v>60000</v>
      </c>
    </row>
    <row r="5" spans="1:16" s="6" customFormat="1" ht="18.75" customHeight="1" x14ac:dyDescent="0.2">
      <c r="A5" s="8">
        <v>2</v>
      </c>
      <c r="B5" s="9" t="s">
        <v>5</v>
      </c>
      <c r="C5" s="10">
        <v>45436</v>
      </c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5">
        <v>10000</v>
      </c>
      <c r="J5" s="4">
        <v>20000</v>
      </c>
      <c r="K5" s="4">
        <v>20000</v>
      </c>
      <c r="L5" s="4">
        <v>20000</v>
      </c>
      <c r="M5" s="4">
        <v>20000</v>
      </c>
      <c r="N5" s="4">
        <v>20000</v>
      </c>
      <c r="O5" s="4">
        <v>20000</v>
      </c>
      <c r="P5" s="12">
        <f t="shared" si="0"/>
        <v>180000</v>
      </c>
    </row>
    <row r="6" spans="1:16" s="6" customFormat="1" ht="18.75" customHeight="1" x14ac:dyDescent="0.2">
      <c r="A6" s="8">
        <v>3</v>
      </c>
      <c r="B6" s="9" t="s">
        <v>6</v>
      </c>
      <c r="C6" s="10">
        <v>45360</v>
      </c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4">
        <v>20000</v>
      </c>
      <c r="K6" s="4">
        <v>20000</v>
      </c>
      <c r="L6" s="4">
        <v>20000</v>
      </c>
      <c r="M6" s="64"/>
      <c r="N6" s="64"/>
      <c r="O6" s="64"/>
      <c r="P6" s="12">
        <f t="shared" si="0"/>
        <v>120000</v>
      </c>
    </row>
    <row r="7" spans="1:16" s="6" customFormat="1" ht="18.75" customHeight="1" x14ac:dyDescent="0.2">
      <c r="A7" s="8">
        <v>4</v>
      </c>
      <c r="B7" s="9" t="s">
        <v>7</v>
      </c>
      <c r="C7" s="10"/>
      <c r="D7" s="4">
        <v>10000</v>
      </c>
      <c r="E7" s="4">
        <v>10000</v>
      </c>
      <c r="F7" s="4">
        <v>10000</v>
      </c>
      <c r="G7" s="4">
        <v>10000</v>
      </c>
      <c r="H7" s="4">
        <v>10000</v>
      </c>
      <c r="I7" s="4">
        <v>10000</v>
      </c>
      <c r="J7" s="64"/>
      <c r="K7" s="64"/>
      <c r="L7" s="64"/>
      <c r="M7" s="64"/>
      <c r="N7" s="64"/>
      <c r="O7" s="64"/>
      <c r="P7" s="12">
        <f t="shared" si="0"/>
        <v>60000</v>
      </c>
    </row>
    <row r="8" spans="1:16" s="6" customFormat="1" ht="18.75" customHeight="1" x14ac:dyDescent="0.2">
      <c r="A8" s="8">
        <v>5</v>
      </c>
      <c r="B8" s="9" t="s">
        <v>8</v>
      </c>
      <c r="C8" s="10">
        <v>45461</v>
      </c>
      <c r="D8" s="4">
        <v>10000</v>
      </c>
      <c r="E8" s="4">
        <v>10000</v>
      </c>
      <c r="F8" s="4">
        <v>10000</v>
      </c>
      <c r="G8" s="4">
        <v>10000</v>
      </c>
      <c r="H8" s="4">
        <v>10000</v>
      </c>
      <c r="I8" s="4">
        <v>10000</v>
      </c>
      <c r="J8" s="4">
        <v>20000</v>
      </c>
      <c r="K8" s="4">
        <v>20000</v>
      </c>
      <c r="L8" s="4">
        <v>20000</v>
      </c>
      <c r="M8" s="65"/>
      <c r="N8" s="65"/>
      <c r="O8" s="65"/>
      <c r="P8" s="12">
        <f t="shared" si="0"/>
        <v>120000</v>
      </c>
    </row>
    <row r="9" spans="1:16" s="6" customFormat="1" ht="18.75" customHeight="1" x14ac:dyDescent="0.2">
      <c r="A9" s="8">
        <v>6</v>
      </c>
      <c r="B9" s="54" t="s">
        <v>9</v>
      </c>
      <c r="C9" s="10"/>
      <c r="D9" s="65"/>
      <c r="E9" s="65"/>
      <c r="F9" s="65"/>
      <c r="G9" s="65"/>
      <c r="H9" s="65"/>
      <c r="I9" s="65"/>
      <c r="J9" s="64"/>
      <c r="K9" s="64"/>
      <c r="L9" s="64"/>
      <c r="M9" s="64"/>
      <c r="N9" s="64"/>
      <c r="O9" s="64"/>
      <c r="P9" s="12">
        <f t="shared" si="0"/>
        <v>0</v>
      </c>
    </row>
    <row r="10" spans="1:16" s="6" customFormat="1" ht="18.75" customHeight="1" x14ac:dyDescent="0.2">
      <c r="A10" s="8">
        <v>7</v>
      </c>
      <c r="B10" s="9" t="s">
        <v>10</v>
      </c>
      <c r="C10" s="10">
        <v>45461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20000</v>
      </c>
      <c r="K10" s="4">
        <v>20000</v>
      </c>
      <c r="L10" s="4">
        <v>20000</v>
      </c>
      <c r="M10" s="4">
        <v>20000</v>
      </c>
      <c r="N10" s="4">
        <v>20000</v>
      </c>
      <c r="O10" s="4">
        <v>20000</v>
      </c>
      <c r="P10" s="12">
        <f t="shared" si="0"/>
        <v>180000</v>
      </c>
    </row>
    <row r="11" spans="1:16" s="6" customFormat="1" ht="18.75" customHeight="1" x14ac:dyDescent="0.2">
      <c r="A11" s="8">
        <v>8</v>
      </c>
      <c r="B11" s="9" t="s">
        <v>11</v>
      </c>
      <c r="C11" s="10">
        <v>45412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4">
        <v>20000</v>
      </c>
      <c r="K11" s="4">
        <v>20000</v>
      </c>
      <c r="L11" s="64"/>
      <c r="M11" s="64"/>
      <c r="N11" s="64"/>
      <c r="O11" s="64"/>
      <c r="P11" s="12">
        <f t="shared" si="0"/>
        <v>100000</v>
      </c>
    </row>
    <row r="12" spans="1:16" s="6" customFormat="1" ht="18.75" customHeight="1" x14ac:dyDescent="0.2">
      <c r="A12" s="8">
        <v>9</v>
      </c>
      <c r="B12" s="9" t="s">
        <v>12</v>
      </c>
      <c r="C12" s="10">
        <v>45403</v>
      </c>
      <c r="D12" s="4">
        <v>10000</v>
      </c>
      <c r="E12" s="4">
        <v>10000</v>
      </c>
      <c r="F12" s="4">
        <v>10000</v>
      </c>
      <c r="G12" s="4">
        <v>10000</v>
      </c>
      <c r="H12" s="4">
        <v>10000</v>
      </c>
      <c r="I12" s="4">
        <v>10000</v>
      </c>
      <c r="J12" s="4">
        <v>10000</v>
      </c>
      <c r="K12" s="4">
        <v>10000</v>
      </c>
      <c r="L12" s="4">
        <v>10000</v>
      </c>
      <c r="M12" s="4">
        <v>10000</v>
      </c>
      <c r="N12" s="4">
        <v>10000</v>
      </c>
      <c r="O12" s="4">
        <v>10000</v>
      </c>
      <c r="P12" s="12">
        <f t="shared" si="0"/>
        <v>120000</v>
      </c>
    </row>
    <row r="13" spans="1:16" s="6" customFormat="1" ht="18.75" customHeight="1" x14ac:dyDescent="0.2">
      <c r="A13" s="8">
        <v>10</v>
      </c>
      <c r="B13" s="9" t="s">
        <v>13</v>
      </c>
      <c r="C13" s="10"/>
      <c r="D13" s="4">
        <v>10000</v>
      </c>
      <c r="E13" s="4">
        <v>10000</v>
      </c>
      <c r="F13" s="4">
        <v>10000</v>
      </c>
      <c r="G13" s="4">
        <v>10000</v>
      </c>
      <c r="H13" s="4">
        <v>10000</v>
      </c>
      <c r="I13" s="4">
        <v>10000</v>
      </c>
      <c r="J13" s="64"/>
      <c r="K13" s="64"/>
      <c r="L13" s="64"/>
      <c r="M13" s="64"/>
      <c r="N13" s="64"/>
      <c r="O13" s="64"/>
      <c r="P13" s="12">
        <f t="shared" si="0"/>
        <v>60000</v>
      </c>
    </row>
    <row r="14" spans="1:16" s="6" customFormat="1" ht="18.75" customHeight="1" x14ac:dyDescent="0.2">
      <c r="A14" s="8">
        <v>11</v>
      </c>
      <c r="B14" s="54" t="s">
        <v>14</v>
      </c>
      <c r="C14" s="10"/>
      <c r="D14" s="55"/>
      <c r="E14" s="55"/>
      <c r="F14" s="55"/>
      <c r="G14" s="55"/>
      <c r="H14" s="55"/>
      <c r="I14" s="55"/>
      <c r="J14" s="64"/>
      <c r="K14" s="64"/>
      <c r="L14" s="64"/>
      <c r="M14" s="64"/>
      <c r="N14" s="64"/>
      <c r="O14" s="64"/>
      <c r="P14" s="12">
        <f t="shared" si="0"/>
        <v>0</v>
      </c>
    </row>
    <row r="15" spans="1:16" s="6" customFormat="1" ht="18.75" customHeight="1" x14ac:dyDescent="0.2">
      <c r="A15" s="8">
        <v>12</v>
      </c>
      <c r="B15" s="9" t="s">
        <v>15</v>
      </c>
      <c r="C15" s="10">
        <v>45404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20000</v>
      </c>
      <c r="K15" s="4">
        <v>20000</v>
      </c>
      <c r="L15" s="4">
        <v>20000</v>
      </c>
      <c r="M15" s="64"/>
      <c r="N15" s="64"/>
      <c r="O15" s="64"/>
      <c r="P15" s="12">
        <f t="shared" si="0"/>
        <v>120000</v>
      </c>
    </row>
    <row r="16" spans="1:16" s="6" customFormat="1" ht="18.75" customHeight="1" x14ac:dyDescent="0.2">
      <c r="A16" s="8">
        <v>13</v>
      </c>
      <c r="B16" s="9" t="s">
        <v>16</v>
      </c>
      <c r="C16" s="10"/>
      <c r="D16" s="4">
        <v>10000</v>
      </c>
      <c r="E16" s="4">
        <v>10000</v>
      </c>
      <c r="F16" s="4">
        <v>10000</v>
      </c>
      <c r="G16" s="4">
        <v>10000</v>
      </c>
      <c r="H16" s="4">
        <v>10000</v>
      </c>
      <c r="I16" s="4">
        <v>10000</v>
      </c>
      <c r="J16" s="4">
        <v>20000</v>
      </c>
      <c r="K16" s="4">
        <v>20000</v>
      </c>
      <c r="L16" s="64"/>
      <c r="M16" s="64"/>
      <c r="N16" s="64"/>
      <c r="O16" s="64"/>
      <c r="P16" s="12">
        <f t="shared" si="0"/>
        <v>100000</v>
      </c>
    </row>
    <row r="17" spans="1:20" s="6" customFormat="1" ht="18.75" customHeight="1" x14ac:dyDescent="0.2">
      <c r="A17" s="8"/>
      <c r="B17" s="56" t="s">
        <v>42</v>
      </c>
      <c r="C17" s="57"/>
      <c r="D17" s="58">
        <v>10000</v>
      </c>
      <c r="E17" s="58">
        <v>10000</v>
      </c>
      <c r="F17" s="58">
        <v>10000</v>
      </c>
      <c r="G17" s="58">
        <v>10000</v>
      </c>
      <c r="H17" s="58">
        <v>10000</v>
      </c>
      <c r="I17" s="58">
        <v>10000</v>
      </c>
      <c r="J17" s="58">
        <v>20000</v>
      </c>
      <c r="K17" s="59"/>
      <c r="L17" s="59"/>
      <c r="M17" s="59"/>
      <c r="N17" s="59"/>
      <c r="O17" s="59"/>
      <c r="P17" s="12">
        <f t="shared" si="0"/>
        <v>80000</v>
      </c>
      <c r="T17" s="6">
        <v>74</v>
      </c>
    </row>
    <row r="18" spans="1:20" s="6" customFormat="1" ht="18.75" customHeight="1" x14ac:dyDescent="0.2">
      <c r="A18" s="8">
        <v>14</v>
      </c>
      <c r="B18" s="9" t="s">
        <v>17</v>
      </c>
      <c r="C18" s="10">
        <v>45403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20000</v>
      </c>
      <c r="K18" s="4">
        <v>20000</v>
      </c>
      <c r="L18" s="64"/>
      <c r="M18" s="64"/>
      <c r="N18" s="64"/>
      <c r="O18" s="64"/>
      <c r="P18" s="12">
        <f t="shared" si="0"/>
        <v>100000</v>
      </c>
      <c r="T18" s="6">
        <v>20000</v>
      </c>
    </row>
    <row r="19" spans="1:20" s="6" customFormat="1" ht="18.75" customHeight="1" x14ac:dyDescent="0.2">
      <c r="A19" s="8">
        <v>15</v>
      </c>
      <c r="B19" s="9" t="s">
        <v>18</v>
      </c>
      <c r="C19" s="10">
        <v>45461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20000</v>
      </c>
      <c r="K19" s="4">
        <v>20000</v>
      </c>
      <c r="L19" s="4">
        <v>20000</v>
      </c>
      <c r="M19" s="65"/>
      <c r="N19" s="65"/>
      <c r="O19" s="65"/>
      <c r="P19" s="12">
        <f t="shared" si="0"/>
        <v>120000</v>
      </c>
      <c r="T19" s="6">
        <f>T17*T18</f>
        <v>1480000</v>
      </c>
    </row>
    <row r="20" spans="1:20" s="6" customFormat="1" ht="18.75" customHeight="1" x14ac:dyDescent="0.2">
      <c r="A20" s="8">
        <v>16</v>
      </c>
      <c r="B20" s="9" t="s">
        <v>19</v>
      </c>
      <c r="C20" s="10"/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64"/>
      <c r="K20" s="64"/>
      <c r="L20" s="64"/>
      <c r="M20" s="64"/>
      <c r="N20" s="64"/>
      <c r="O20" s="64"/>
      <c r="P20" s="12">
        <f t="shared" si="0"/>
        <v>60000</v>
      </c>
    </row>
    <row r="21" spans="1:20" s="6" customFormat="1" ht="18.75" customHeight="1" x14ac:dyDescent="0.2">
      <c r="A21" s="8">
        <v>17</v>
      </c>
      <c r="B21" s="9" t="s">
        <v>20</v>
      </c>
      <c r="C21" s="10">
        <v>45404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64"/>
      <c r="K21" s="64"/>
      <c r="L21" s="64"/>
      <c r="M21" s="64"/>
      <c r="N21" s="64"/>
      <c r="O21" s="64"/>
      <c r="P21" s="12">
        <f t="shared" si="0"/>
        <v>60000</v>
      </c>
    </row>
    <row r="22" spans="1:20" s="6" customFormat="1" ht="18.75" customHeight="1" x14ac:dyDescent="0.2">
      <c r="A22" s="8">
        <v>18</v>
      </c>
      <c r="B22" s="9" t="s">
        <v>21</v>
      </c>
      <c r="C22" s="10">
        <v>45325</v>
      </c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20000</v>
      </c>
      <c r="K22" s="64"/>
      <c r="L22" s="64"/>
      <c r="M22" s="64"/>
      <c r="N22" s="64"/>
      <c r="O22" s="64"/>
      <c r="P22" s="12">
        <f t="shared" si="0"/>
        <v>80000</v>
      </c>
    </row>
    <row r="23" spans="1:20" s="6" customFormat="1" ht="18.75" customHeight="1" x14ac:dyDescent="0.2">
      <c r="A23" s="8">
        <v>19</v>
      </c>
      <c r="B23" s="9" t="s">
        <v>22</v>
      </c>
      <c r="C23" s="10"/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64"/>
      <c r="K23" s="64"/>
      <c r="L23" s="64"/>
      <c r="M23" s="64"/>
      <c r="N23" s="64"/>
      <c r="O23" s="64"/>
      <c r="P23" s="12">
        <f t="shared" si="0"/>
        <v>60000</v>
      </c>
    </row>
    <row r="24" spans="1:20" s="6" customFormat="1" ht="18.75" customHeight="1" x14ac:dyDescent="0.2">
      <c r="A24" s="8"/>
      <c r="B24" s="56" t="s">
        <v>37</v>
      </c>
      <c r="C24" s="60">
        <v>45403</v>
      </c>
      <c r="D24" s="61">
        <v>10000</v>
      </c>
      <c r="E24" s="61">
        <v>10000</v>
      </c>
      <c r="F24" s="61">
        <v>10000</v>
      </c>
      <c r="G24" s="61">
        <v>10000</v>
      </c>
      <c r="H24" s="61">
        <v>10000</v>
      </c>
      <c r="I24" s="61">
        <v>10000</v>
      </c>
      <c r="J24" s="61">
        <v>20000</v>
      </c>
      <c r="K24" s="61">
        <v>20000</v>
      </c>
      <c r="L24" s="61">
        <v>20000</v>
      </c>
      <c r="M24" s="61">
        <v>20000</v>
      </c>
      <c r="N24" s="61">
        <v>20000</v>
      </c>
      <c r="O24" s="61">
        <v>20000</v>
      </c>
      <c r="P24" s="12">
        <f t="shared" si="0"/>
        <v>180000</v>
      </c>
    </row>
    <row r="25" spans="1:20" s="6" customFormat="1" ht="18.75" customHeight="1" x14ac:dyDescent="0.2">
      <c r="A25" s="8">
        <v>20</v>
      </c>
      <c r="B25" s="13" t="s">
        <v>38</v>
      </c>
      <c r="C25" s="14">
        <v>45403</v>
      </c>
      <c r="D25" s="4">
        <v>10000</v>
      </c>
      <c r="E25" s="4">
        <v>10000</v>
      </c>
      <c r="F25" s="4">
        <v>10000</v>
      </c>
      <c r="G25" s="4">
        <v>10000</v>
      </c>
      <c r="H25" s="4">
        <v>10000</v>
      </c>
      <c r="I25" s="4">
        <v>10000</v>
      </c>
      <c r="J25" s="4">
        <v>20000</v>
      </c>
      <c r="K25" s="4">
        <v>20000</v>
      </c>
      <c r="L25" s="4">
        <v>20000</v>
      </c>
      <c r="M25" s="64"/>
      <c r="N25" s="64"/>
      <c r="O25" s="64"/>
      <c r="P25" s="12">
        <f t="shared" si="0"/>
        <v>120000</v>
      </c>
    </row>
    <row r="26" spans="1:20" s="6" customFormat="1" ht="18.75" customHeight="1" x14ac:dyDescent="0.2">
      <c r="A26" s="8"/>
      <c r="B26" s="66" t="s">
        <v>39</v>
      </c>
      <c r="C26" s="62">
        <v>45405</v>
      </c>
      <c r="D26" s="61">
        <v>10000</v>
      </c>
      <c r="E26" s="61">
        <v>10000</v>
      </c>
      <c r="F26" s="61">
        <v>10000</v>
      </c>
      <c r="G26" s="61">
        <v>10000</v>
      </c>
      <c r="H26" s="61">
        <v>10000</v>
      </c>
      <c r="I26" s="61">
        <v>10000</v>
      </c>
      <c r="J26" s="61">
        <v>20000</v>
      </c>
      <c r="K26" s="61">
        <v>20000</v>
      </c>
      <c r="L26" s="61">
        <v>20000</v>
      </c>
      <c r="M26" s="63"/>
      <c r="N26" s="63"/>
      <c r="O26" s="63"/>
      <c r="P26" s="12">
        <f t="shared" si="0"/>
        <v>120000</v>
      </c>
    </row>
    <row r="27" spans="1:20" s="6" customFormat="1" ht="18.75" customHeight="1" x14ac:dyDescent="0.2">
      <c r="A27" s="8">
        <v>21</v>
      </c>
      <c r="B27" s="13" t="s">
        <v>40</v>
      </c>
      <c r="C27" s="14"/>
      <c r="D27" s="4">
        <v>10000</v>
      </c>
      <c r="E27" s="4">
        <v>10000</v>
      </c>
      <c r="F27" s="4">
        <v>10000</v>
      </c>
      <c r="G27" s="4">
        <v>10000</v>
      </c>
      <c r="H27" s="4">
        <v>10000</v>
      </c>
      <c r="I27" s="4">
        <v>10000</v>
      </c>
      <c r="J27" s="4">
        <v>20000</v>
      </c>
      <c r="K27" s="4">
        <v>20000</v>
      </c>
      <c r="L27" s="4">
        <v>20000</v>
      </c>
      <c r="M27" s="4">
        <v>20000</v>
      </c>
      <c r="N27" s="4">
        <v>20000</v>
      </c>
      <c r="O27" s="4">
        <v>20000</v>
      </c>
      <c r="P27" s="12">
        <f t="shared" si="0"/>
        <v>180000</v>
      </c>
    </row>
    <row r="28" spans="1:20" s="6" customFormat="1" ht="18.75" customHeight="1" x14ac:dyDescent="0.2">
      <c r="A28" s="8">
        <v>22</v>
      </c>
      <c r="B28" s="13" t="s">
        <v>53</v>
      </c>
      <c r="C28" s="14">
        <v>210000</v>
      </c>
      <c r="D28" s="4">
        <v>10000</v>
      </c>
      <c r="E28" s="4">
        <v>10000</v>
      </c>
      <c r="F28" s="4">
        <v>10000</v>
      </c>
      <c r="G28" s="4">
        <v>10000</v>
      </c>
      <c r="H28" s="4">
        <v>10000</v>
      </c>
      <c r="I28" s="4">
        <v>10000</v>
      </c>
      <c r="J28" s="4">
        <v>20000</v>
      </c>
      <c r="K28" s="4">
        <v>20000</v>
      </c>
      <c r="L28" s="4">
        <v>20000</v>
      </c>
      <c r="M28" s="4">
        <v>20000</v>
      </c>
      <c r="N28" s="4">
        <v>20000</v>
      </c>
      <c r="O28" s="4">
        <v>20000</v>
      </c>
      <c r="P28" s="12">
        <f t="shared" si="0"/>
        <v>180000</v>
      </c>
    </row>
    <row r="29" spans="1:20" s="6" customFormat="1" ht="18.75" customHeight="1" x14ac:dyDescent="0.2">
      <c r="A29" s="8">
        <v>23</v>
      </c>
      <c r="B29" s="13" t="s">
        <v>54</v>
      </c>
      <c r="C29" s="15"/>
      <c r="D29" s="67"/>
      <c r="E29" s="67"/>
      <c r="F29" s="67"/>
      <c r="G29" s="67"/>
      <c r="H29" s="67"/>
      <c r="I29" s="67"/>
      <c r="J29" s="68"/>
      <c r="K29" s="68"/>
      <c r="L29" s="68"/>
      <c r="M29" s="68"/>
      <c r="N29" s="4">
        <v>20000</v>
      </c>
      <c r="O29" s="4">
        <v>20000</v>
      </c>
      <c r="P29" s="12">
        <f t="shared" si="0"/>
        <v>40000</v>
      </c>
    </row>
    <row r="30" spans="1:20" s="6" customFormat="1" ht="18.75" customHeight="1" x14ac:dyDescent="0.2">
      <c r="A30" s="8"/>
      <c r="B30" s="13" t="s">
        <v>56</v>
      </c>
      <c r="C30" s="15"/>
      <c r="D30" s="4">
        <v>10000</v>
      </c>
      <c r="E30" s="4">
        <v>10000</v>
      </c>
      <c r="F30" s="4">
        <v>10000</v>
      </c>
      <c r="G30" s="4">
        <v>10000</v>
      </c>
      <c r="H30" s="4">
        <v>10000</v>
      </c>
      <c r="I30" s="4">
        <v>10000</v>
      </c>
      <c r="J30" s="4">
        <v>20000</v>
      </c>
      <c r="K30" s="4">
        <v>20000</v>
      </c>
      <c r="L30" s="4">
        <v>20000</v>
      </c>
      <c r="M30" s="4">
        <v>20000</v>
      </c>
      <c r="N30" s="4">
        <v>20000</v>
      </c>
      <c r="O30" s="4">
        <v>20000</v>
      </c>
      <c r="P30" s="12">
        <f t="shared" si="0"/>
        <v>180000</v>
      </c>
    </row>
    <row r="31" spans="1:20" s="6" customFormat="1" ht="18.75" customHeight="1" x14ac:dyDescent="0.2">
      <c r="A31" s="8"/>
      <c r="B31" s="13"/>
      <c r="C31" s="15"/>
      <c r="D31" s="5"/>
      <c r="E31" s="5"/>
      <c r="F31" s="5"/>
      <c r="G31" s="5"/>
      <c r="H31" s="5"/>
      <c r="I31" s="5"/>
      <c r="J31" s="11"/>
      <c r="K31" s="11"/>
      <c r="L31" s="11"/>
      <c r="M31" s="11"/>
      <c r="N31" s="24"/>
      <c r="O31" s="25" t="s">
        <v>47</v>
      </c>
      <c r="P31" s="26">
        <f>SUM(P3:P29)</f>
        <v>2780000</v>
      </c>
    </row>
    <row r="34" spans="6:6" x14ac:dyDescent="0.2">
      <c r="F34" s="1">
        <v>58</v>
      </c>
    </row>
    <row r="35" spans="6:6" x14ac:dyDescent="0.2">
      <c r="F35" s="1">
        <v>10000</v>
      </c>
    </row>
    <row r="36" spans="6:6" x14ac:dyDescent="0.2">
      <c r="F36" s="1">
        <f>F34*F35</f>
        <v>580000</v>
      </c>
    </row>
  </sheetData>
  <mergeCells count="1">
    <mergeCell ref="D1:P1"/>
  </mergeCells>
  <pageMargins left="0.7" right="0.7" top="0.75" bottom="0.75" header="0.3" footer="0.3"/>
  <pageSetup paperSize="9" scale="5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0B84-08CF-D443-9C22-3E5105AB9180}">
  <dimension ref="A1:P31"/>
  <sheetViews>
    <sheetView topLeftCell="B7" workbookViewId="0">
      <selection activeCell="F34" sqref="F34"/>
    </sheetView>
  </sheetViews>
  <sheetFormatPr baseColWidth="10" defaultColWidth="12" defaultRowHeight="12.75" x14ac:dyDescent="0.2"/>
  <cols>
    <col min="1" max="1" width="6.33203125" style="1" customWidth="1"/>
    <col min="2" max="2" width="55" style="1" customWidth="1"/>
    <col min="3" max="3" width="20.6640625" style="7" hidden="1" customWidth="1"/>
    <col min="4" max="4" width="12.6640625" style="1" customWidth="1"/>
    <col min="5" max="9" width="11.33203125" style="1" bestFit="1" customWidth="1"/>
    <col min="10" max="15" width="12" style="3"/>
    <col min="16" max="16" width="18.1640625" style="3" customWidth="1"/>
    <col min="17" max="16384" width="12" style="3"/>
  </cols>
  <sheetData>
    <row r="1" spans="1:16" ht="20.100000000000001" customHeight="1" x14ac:dyDescent="0.2">
      <c r="A1" s="19"/>
      <c r="B1" s="19"/>
      <c r="C1" s="20"/>
      <c r="D1" s="109" t="s">
        <v>25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/>
    </row>
    <row r="2" spans="1:16" s="2" customFormat="1" x14ac:dyDescent="0.2">
      <c r="A2" s="21"/>
      <c r="B2" s="22" t="s">
        <v>0</v>
      </c>
      <c r="C2" s="22" t="s">
        <v>36</v>
      </c>
      <c r="D2" s="22" t="s">
        <v>26</v>
      </c>
      <c r="E2" s="22" t="s">
        <v>43</v>
      </c>
      <c r="F2" s="22" t="s">
        <v>27</v>
      </c>
      <c r="G2" s="22" t="s">
        <v>28</v>
      </c>
      <c r="H2" s="22" t="s">
        <v>29</v>
      </c>
      <c r="I2" s="22" t="s">
        <v>30</v>
      </c>
      <c r="J2" s="22" t="s">
        <v>1</v>
      </c>
      <c r="K2" s="22" t="s">
        <v>31</v>
      </c>
      <c r="L2" s="22" t="s">
        <v>32</v>
      </c>
      <c r="M2" s="22" t="s">
        <v>33</v>
      </c>
      <c r="N2" s="22" t="s">
        <v>34</v>
      </c>
      <c r="O2" s="22" t="s">
        <v>35</v>
      </c>
      <c r="P2" s="23" t="s">
        <v>45</v>
      </c>
    </row>
    <row r="3" spans="1:16" s="6" customFormat="1" ht="18.75" customHeight="1" x14ac:dyDescent="0.2">
      <c r="A3" s="8">
        <v>1</v>
      </c>
      <c r="B3" s="9" t="s">
        <v>3</v>
      </c>
      <c r="C3" s="10">
        <v>45461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4">
        <v>20000</v>
      </c>
      <c r="K3" s="4">
        <v>20000</v>
      </c>
      <c r="L3" s="4">
        <v>20000</v>
      </c>
      <c r="M3" s="4">
        <v>20000</v>
      </c>
      <c r="N3" s="4">
        <v>20000</v>
      </c>
      <c r="O3" s="4">
        <v>20000</v>
      </c>
      <c r="P3" s="12">
        <f>+SUM(D3:O3)</f>
        <v>180000</v>
      </c>
    </row>
    <row r="4" spans="1:16" s="6" customFormat="1" ht="18.75" customHeight="1" x14ac:dyDescent="0.2">
      <c r="A4" s="8"/>
      <c r="B4" s="56" t="s">
        <v>4</v>
      </c>
      <c r="C4" s="57">
        <v>45311</v>
      </c>
      <c r="D4" s="58">
        <v>10000</v>
      </c>
      <c r="E4" s="58">
        <v>10000</v>
      </c>
      <c r="F4" s="58">
        <v>10000</v>
      </c>
      <c r="G4" s="58">
        <v>10000</v>
      </c>
      <c r="H4" s="58">
        <v>10000</v>
      </c>
      <c r="I4" s="58">
        <v>10000</v>
      </c>
      <c r="J4" s="59"/>
      <c r="K4" s="59"/>
      <c r="L4" s="59"/>
      <c r="M4" s="59"/>
      <c r="N4" s="59"/>
      <c r="O4" s="59"/>
      <c r="P4" s="12">
        <f t="shared" ref="P4:P30" si="0">+SUM(D4:O4)</f>
        <v>60000</v>
      </c>
    </row>
    <row r="5" spans="1:16" s="6" customFormat="1" ht="18.75" customHeight="1" x14ac:dyDescent="0.2">
      <c r="A5" s="8">
        <v>2</v>
      </c>
      <c r="B5" s="9" t="s">
        <v>5</v>
      </c>
      <c r="C5" s="10">
        <v>45436</v>
      </c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5">
        <v>10000</v>
      </c>
      <c r="J5" s="4">
        <v>20000</v>
      </c>
      <c r="K5" s="4">
        <v>20000</v>
      </c>
      <c r="L5" s="4">
        <v>20000</v>
      </c>
      <c r="M5" s="4">
        <v>20000</v>
      </c>
      <c r="N5" s="4">
        <v>20000</v>
      </c>
      <c r="O5" s="4">
        <v>20000</v>
      </c>
      <c r="P5" s="12">
        <f t="shared" si="0"/>
        <v>180000</v>
      </c>
    </row>
    <row r="6" spans="1:16" s="6" customFormat="1" ht="18.75" customHeight="1" x14ac:dyDescent="0.2">
      <c r="A6" s="8">
        <v>3</v>
      </c>
      <c r="B6" s="9" t="s">
        <v>6</v>
      </c>
      <c r="C6" s="10">
        <v>45360</v>
      </c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4">
        <v>20000</v>
      </c>
      <c r="K6" s="4">
        <v>20000</v>
      </c>
      <c r="L6" s="4">
        <v>20000</v>
      </c>
      <c r="M6" s="64"/>
      <c r="N6" s="64"/>
      <c r="O6" s="64"/>
      <c r="P6" s="12">
        <f t="shared" si="0"/>
        <v>120000</v>
      </c>
    </row>
    <row r="7" spans="1:16" s="6" customFormat="1" ht="18.75" customHeight="1" x14ac:dyDescent="0.2">
      <c r="A7" s="8">
        <v>4</v>
      </c>
      <c r="B7" s="9" t="s">
        <v>7</v>
      </c>
      <c r="C7" s="10"/>
      <c r="D7" s="4">
        <v>10000</v>
      </c>
      <c r="E7" s="4">
        <v>10000</v>
      </c>
      <c r="F7" s="4">
        <v>10000</v>
      </c>
      <c r="G7" s="4">
        <v>10000</v>
      </c>
      <c r="H7" s="4">
        <v>10000</v>
      </c>
      <c r="I7" s="4">
        <v>10000</v>
      </c>
      <c r="J7" s="64"/>
      <c r="K7" s="64"/>
      <c r="L7" s="64"/>
      <c r="M7" s="64"/>
      <c r="N7" s="64"/>
      <c r="O7" s="64"/>
      <c r="P7" s="12">
        <f t="shared" si="0"/>
        <v>60000</v>
      </c>
    </row>
    <row r="8" spans="1:16" s="6" customFormat="1" ht="18.75" customHeight="1" x14ac:dyDescent="0.2">
      <c r="A8" s="8">
        <v>5</v>
      </c>
      <c r="B8" s="9" t="s">
        <v>8</v>
      </c>
      <c r="C8" s="10">
        <v>45461</v>
      </c>
      <c r="D8" s="4">
        <v>10000</v>
      </c>
      <c r="E8" s="4">
        <v>10000</v>
      </c>
      <c r="F8" s="4">
        <v>10000</v>
      </c>
      <c r="G8" s="4">
        <v>10000</v>
      </c>
      <c r="H8" s="4">
        <v>10000</v>
      </c>
      <c r="I8" s="4">
        <v>10000</v>
      </c>
      <c r="J8" s="4">
        <v>20000</v>
      </c>
      <c r="K8" s="4">
        <v>20000</v>
      </c>
      <c r="L8" s="4">
        <v>20000</v>
      </c>
      <c r="M8" s="65"/>
      <c r="N8" s="65"/>
      <c r="O8" s="65"/>
      <c r="P8" s="12">
        <f t="shared" si="0"/>
        <v>120000</v>
      </c>
    </row>
    <row r="9" spans="1:16" s="6" customFormat="1" ht="18.75" customHeight="1" x14ac:dyDescent="0.2">
      <c r="A9" s="8">
        <v>6</v>
      </c>
      <c r="B9" s="54" t="s">
        <v>9</v>
      </c>
      <c r="C9" s="10"/>
      <c r="D9" s="65"/>
      <c r="E9" s="65"/>
      <c r="F9" s="65"/>
      <c r="G9" s="65"/>
      <c r="H9" s="65"/>
      <c r="I9" s="65"/>
      <c r="J9" s="64"/>
      <c r="K9" s="64"/>
      <c r="L9" s="64"/>
      <c r="M9" s="64"/>
      <c r="N9" s="64"/>
      <c r="O9" s="64"/>
      <c r="P9" s="12">
        <f t="shared" si="0"/>
        <v>0</v>
      </c>
    </row>
    <row r="10" spans="1:16" s="6" customFormat="1" ht="18.75" customHeight="1" x14ac:dyDescent="0.2">
      <c r="A10" s="8">
        <v>7</v>
      </c>
      <c r="B10" s="9" t="s">
        <v>10</v>
      </c>
      <c r="C10" s="10">
        <v>45461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20000</v>
      </c>
      <c r="K10" s="4">
        <v>20000</v>
      </c>
      <c r="L10" s="4">
        <v>20000</v>
      </c>
      <c r="M10" s="4">
        <v>20000</v>
      </c>
      <c r="N10" s="4">
        <v>20000</v>
      </c>
      <c r="O10" s="4">
        <v>20000</v>
      </c>
      <c r="P10" s="12">
        <f t="shared" si="0"/>
        <v>180000</v>
      </c>
    </row>
    <row r="11" spans="1:16" s="6" customFormat="1" ht="18.75" customHeight="1" x14ac:dyDescent="0.2">
      <c r="A11" s="8">
        <v>8</v>
      </c>
      <c r="B11" s="9" t="s">
        <v>11</v>
      </c>
      <c r="C11" s="10">
        <v>45412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4">
        <v>20000</v>
      </c>
      <c r="K11" s="4">
        <v>20000</v>
      </c>
      <c r="L11" s="64"/>
      <c r="M11" s="64"/>
      <c r="N11" s="64"/>
      <c r="O11" s="64"/>
      <c r="P11" s="12">
        <f t="shared" si="0"/>
        <v>100000</v>
      </c>
    </row>
    <row r="12" spans="1:16" s="6" customFormat="1" ht="18.75" customHeight="1" x14ac:dyDescent="0.2">
      <c r="A12" s="8">
        <v>9</v>
      </c>
      <c r="B12" s="9" t="s">
        <v>12</v>
      </c>
      <c r="C12" s="10">
        <v>45403</v>
      </c>
      <c r="D12" s="4">
        <v>10000</v>
      </c>
      <c r="E12" s="4">
        <v>10000</v>
      </c>
      <c r="F12" s="4">
        <v>10000</v>
      </c>
      <c r="G12" s="4">
        <v>10000</v>
      </c>
      <c r="H12" s="4">
        <v>10000</v>
      </c>
      <c r="I12" s="4">
        <v>10000</v>
      </c>
      <c r="J12" s="4">
        <v>10000</v>
      </c>
      <c r="K12" s="4">
        <v>10000</v>
      </c>
      <c r="L12" s="4">
        <v>10000</v>
      </c>
      <c r="M12" s="4">
        <v>10000</v>
      </c>
      <c r="N12" s="4">
        <v>10000</v>
      </c>
      <c r="O12" s="4">
        <v>10000</v>
      </c>
      <c r="P12" s="12">
        <f t="shared" si="0"/>
        <v>120000</v>
      </c>
    </row>
    <row r="13" spans="1:16" s="6" customFormat="1" ht="18.75" customHeight="1" x14ac:dyDescent="0.2">
      <c r="A13" s="8">
        <v>10</v>
      </c>
      <c r="B13" s="9" t="s">
        <v>13</v>
      </c>
      <c r="C13" s="10"/>
      <c r="D13" s="4">
        <v>10000</v>
      </c>
      <c r="E13" s="4">
        <v>10000</v>
      </c>
      <c r="F13" s="4">
        <v>10000</v>
      </c>
      <c r="G13" s="4">
        <v>10000</v>
      </c>
      <c r="H13" s="4">
        <v>10000</v>
      </c>
      <c r="I13" s="4">
        <v>10000</v>
      </c>
      <c r="J13" s="64"/>
      <c r="K13" s="64"/>
      <c r="L13" s="64"/>
      <c r="M13" s="64"/>
      <c r="N13" s="64"/>
      <c r="O13" s="64"/>
      <c r="P13" s="12">
        <f t="shared" si="0"/>
        <v>60000</v>
      </c>
    </row>
    <row r="14" spans="1:16" s="6" customFormat="1" ht="18.75" customHeight="1" x14ac:dyDescent="0.2">
      <c r="A14" s="8">
        <v>11</v>
      </c>
      <c r="B14" s="54" t="s">
        <v>14</v>
      </c>
      <c r="C14" s="10"/>
      <c r="D14" s="55"/>
      <c r="E14" s="55"/>
      <c r="F14" s="55"/>
      <c r="G14" s="55"/>
      <c r="H14" s="55"/>
      <c r="I14" s="55"/>
      <c r="J14" s="64"/>
      <c r="K14" s="64"/>
      <c r="L14" s="64"/>
      <c r="M14" s="64"/>
      <c r="N14" s="64"/>
      <c r="O14" s="64"/>
      <c r="P14" s="12">
        <f t="shared" si="0"/>
        <v>0</v>
      </c>
    </row>
    <row r="15" spans="1:16" s="6" customFormat="1" ht="18.75" customHeight="1" x14ac:dyDescent="0.2">
      <c r="A15" s="8">
        <v>12</v>
      </c>
      <c r="B15" s="9" t="s">
        <v>15</v>
      </c>
      <c r="C15" s="10">
        <v>45404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20000</v>
      </c>
      <c r="K15" s="4">
        <v>20000</v>
      </c>
      <c r="L15" s="4">
        <v>20000</v>
      </c>
      <c r="M15" s="64"/>
      <c r="N15" s="64"/>
      <c r="O15" s="64"/>
      <c r="P15" s="12">
        <f t="shared" si="0"/>
        <v>120000</v>
      </c>
    </row>
    <row r="16" spans="1:16" s="6" customFormat="1" ht="18.75" customHeight="1" x14ac:dyDescent="0.2">
      <c r="A16" s="8">
        <v>13</v>
      </c>
      <c r="B16" s="9" t="s">
        <v>16</v>
      </c>
      <c r="C16" s="10"/>
      <c r="D16" s="4">
        <v>10000</v>
      </c>
      <c r="E16" s="4">
        <v>10000</v>
      </c>
      <c r="F16" s="4">
        <v>10000</v>
      </c>
      <c r="G16" s="4">
        <v>10000</v>
      </c>
      <c r="H16" s="4">
        <v>10000</v>
      </c>
      <c r="I16" s="4">
        <v>10000</v>
      </c>
      <c r="J16" s="4">
        <v>20000</v>
      </c>
      <c r="K16" s="4">
        <v>20000</v>
      </c>
      <c r="L16" s="64"/>
      <c r="M16" s="64"/>
      <c r="N16" s="64"/>
      <c r="O16" s="64"/>
      <c r="P16" s="12">
        <f t="shared" si="0"/>
        <v>100000</v>
      </c>
    </row>
    <row r="17" spans="1:16" s="6" customFormat="1" ht="18.75" customHeight="1" x14ac:dyDescent="0.2">
      <c r="A17" s="8"/>
      <c r="B17" s="56" t="s">
        <v>42</v>
      </c>
      <c r="C17" s="57"/>
      <c r="D17" s="58">
        <v>10000</v>
      </c>
      <c r="E17" s="58">
        <v>10000</v>
      </c>
      <c r="F17" s="58">
        <v>10000</v>
      </c>
      <c r="G17" s="58">
        <v>10000</v>
      </c>
      <c r="H17" s="58">
        <v>10000</v>
      </c>
      <c r="I17" s="58">
        <v>10000</v>
      </c>
      <c r="J17" s="58">
        <v>20000</v>
      </c>
      <c r="K17" s="59"/>
      <c r="L17" s="59"/>
      <c r="M17" s="59"/>
      <c r="N17" s="59"/>
      <c r="O17" s="59"/>
      <c r="P17" s="12">
        <f t="shared" si="0"/>
        <v>80000</v>
      </c>
    </row>
    <row r="18" spans="1:16" s="6" customFormat="1" ht="18.75" customHeight="1" x14ac:dyDescent="0.2">
      <c r="A18" s="8">
        <v>14</v>
      </c>
      <c r="B18" s="9" t="s">
        <v>17</v>
      </c>
      <c r="C18" s="10">
        <v>45403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20000</v>
      </c>
      <c r="K18" s="4">
        <v>20000</v>
      </c>
      <c r="L18" s="64"/>
      <c r="M18" s="64"/>
      <c r="N18" s="64"/>
      <c r="O18" s="64"/>
      <c r="P18" s="12">
        <f t="shared" si="0"/>
        <v>100000</v>
      </c>
    </row>
    <row r="19" spans="1:16" s="6" customFormat="1" ht="18.75" customHeight="1" x14ac:dyDescent="0.2">
      <c r="A19" s="8">
        <v>15</v>
      </c>
      <c r="B19" s="9" t="s">
        <v>18</v>
      </c>
      <c r="C19" s="10">
        <v>45461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20000</v>
      </c>
      <c r="K19" s="4">
        <v>20000</v>
      </c>
      <c r="L19" s="4">
        <v>20000</v>
      </c>
      <c r="M19" s="65"/>
      <c r="N19" s="65"/>
      <c r="O19" s="65"/>
      <c r="P19" s="12">
        <f t="shared" si="0"/>
        <v>120000</v>
      </c>
    </row>
    <row r="20" spans="1:16" s="6" customFormat="1" ht="18.75" customHeight="1" x14ac:dyDescent="0.2">
      <c r="A20" s="8">
        <v>16</v>
      </c>
      <c r="B20" s="9" t="s">
        <v>19</v>
      </c>
      <c r="C20" s="10"/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64"/>
      <c r="K20" s="64"/>
      <c r="L20" s="64"/>
      <c r="M20" s="64"/>
      <c r="N20" s="64"/>
      <c r="O20" s="64"/>
      <c r="P20" s="12">
        <f t="shared" si="0"/>
        <v>60000</v>
      </c>
    </row>
    <row r="21" spans="1:16" s="6" customFormat="1" ht="18.75" customHeight="1" x14ac:dyDescent="0.2">
      <c r="A21" s="8">
        <v>17</v>
      </c>
      <c r="B21" s="9" t="s">
        <v>20</v>
      </c>
      <c r="C21" s="10">
        <v>45404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64"/>
      <c r="K21" s="64"/>
      <c r="L21" s="64"/>
      <c r="M21" s="64"/>
      <c r="N21" s="64"/>
      <c r="O21" s="64"/>
      <c r="P21" s="12">
        <f t="shared" si="0"/>
        <v>60000</v>
      </c>
    </row>
    <row r="22" spans="1:16" s="6" customFormat="1" ht="18.75" customHeight="1" x14ac:dyDescent="0.2">
      <c r="A22" s="8">
        <v>18</v>
      </c>
      <c r="B22" s="9" t="s">
        <v>21</v>
      </c>
      <c r="C22" s="10">
        <v>45325</v>
      </c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20000</v>
      </c>
      <c r="K22" s="64"/>
      <c r="L22" s="64"/>
      <c r="M22" s="64"/>
      <c r="N22" s="64"/>
      <c r="O22" s="64"/>
      <c r="P22" s="12">
        <f t="shared" si="0"/>
        <v>80000</v>
      </c>
    </row>
    <row r="23" spans="1:16" s="6" customFormat="1" ht="18.75" customHeight="1" x14ac:dyDescent="0.2">
      <c r="A23" s="8">
        <v>19</v>
      </c>
      <c r="B23" s="9" t="s">
        <v>22</v>
      </c>
      <c r="C23" s="10"/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64"/>
      <c r="K23" s="64"/>
      <c r="L23" s="64"/>
      <c r="M23" s="64"/>
      <c r="N23" s="64"/>
      <c r="O23" s="64"/>
      <c r="P23" s="12">
        <f t="shared" si="0"/>
        <v>60000</v>
      </c>
    </row>
    <row r="24" spans="1:16" s="6" customFormat="1" ht="18.75" customHeight="1" x14ac:dyDescent="0.2">
      <c r="A24" s="8"/>
      <c r="B24" s="56" t="s">
        <v>37</v>
      </c>
      <c r="C24" s="60">
        <v>45403</v>
      </c>
      <c r="D24" s="61">
        <v>10000</v>
      </c>
      <c r="E24" s="61">
        <v>10000</v>
      </c>
      <c r="F24" s="61">
        <v>10000</v>
      </c>
      <c r="G24" s="61">
        <v>10000</v>
      </c>
      <c r="H24" s="61">
        <v>10000</v>
      </c>
      <c r="I24" s="61">
        <v>10000</v>
      </c>
      <c r="J24" s="61">
        <v>20000</v>
      </c>
      <c r="K24" s="61">
        <v>20000</v>
      </c>
      <c r="L24" s="61">
        <v>20000</v>
      </c>
      <c r="M24" s="61">
        <v>20000</v>
      </c>
      <c r="N24" s="61">
        <v>20000</v>
      </c>
      <c r="O24" s="61">
        <v>20000</v>
      </c>
      <c r="P24" s="12">
        <f t="shared" si="0"/>
        <v>180000</v>
      </c>
    </row>
    <row r="25" spans="1:16" s="6" customFormat="1" ht="18.75" customHeight="1" x14ac:dyDescent="0.2">
      <c r="A25" s="8">
        <v>20</v>
      </c>
      <c r="B25" s="13" t="s">
        <v>38</v>
      </c>
      <c r="C25" s="14">
        <v>45403</v>
      </c>
      <c r="D25" s="4">
        <v>10000</v>
      </c>
      <c r="E25" s="4">
        <v>10000</v>
      </c>
      <c r="F25" s="4">
        <v>10000</v>
      </c>
      <c r="G25" s="4">
        <v>10000</v>
      </c>
      <c r="H25" s="4">
        <v>10000</v>
      </c>
      <c r="I25" s="4">
        <v>10000</v>
      </c>
      <c r="J25" s="4">
        <v>20000</v>
      </c>
      <c r="K25" s="4">
        <v>20000</v>
      </c>
      <c r="L25" s="4">
        <v>20000</v>
      </c>
      <c r="M25" s="64"/>
      <c r="N25" s="64"/>
      <c r="O25" s="64"/>
      <c r="P25" s="12">
        <f t="shared" si="0"/>
        <v>120000</v>
      </c>
    </row>
    <row r="26" spans="1:16" s="6" customFormat="1" ht="18.75" customHeight="1" x14ac:dyDescent="0.2">
      <c r="A26" s="8"/>
      <c r="B26" s="66" t="s">
        <v>39</v>
      </c>
      <c r="C26" s="62">
        <v>45405</v>
      </c>
      <c r="D26" s="61">
        <v>10000</v>
      </c>
      <c r="E26" s="61">
        <v>10000</v>
      </c>
      <c r="F26" s="61">
        <v>10000</v>
      </c>
      <c r="G26" s="61">
        <v>10000</v>
      </c>
      <c r="H26" s="61">
        <v>10000</v>
      </c>
      <c r="I26" s="61">
        <v>10000</v>
      </c>
      <c r="J26" s="61">
        <v>20000</v>
      </c>
      <c r="K26" s="61">
        <v>20000</v>
      </c>
      <c r="L26" s="61">
        <v>20000</v>
      </c>
      <c r="M26" s="63"/>
      <c r="N26" s="63"/>
      <c r="O26" s="63"/>
      <c r="P26" s="12">
        <f t="shared" si="0"/>
        <v>120000</v>
      </c>
    </row>
    <row r="27" spans="1:16" s="6" customFormat="1" ht="18.75" customHeight="1" x14ac:dyDescent="0.2">
      <c r="A27" s="8">
        <v>21</v>
      </c>
      <c r="B27" s="13" t="s">
        <v>40</v>
      </c>
      <c r="C27" s="14"/>
      <c r="D27" s="4">
        <v>10000</v>
      </c>
      <c r="E27" s="4">
        <v>10000</v>
      </c>
      <c r="F27" s="4">
        <v>10000</v>
      </c>
      <c r="G27" s="4">
        <v>10000</v>
      </c>
      <c r="H27" s="4">
        <v>10000</v>
      </c>
      <c r="I27" s="4">
        <v>10000</v>
      </c>
      <c r="J27" s="4">
        <v>20000</v>
      </c>
      <c r="K27" s="4">
        <v>20000</v>
      </c>
      <c r="L27" s="4">
        <v>20000</v>
      </c>
      <c r="M27" s="4">
        <v>20000</v>
      </c>
      <c r="N27" s="4">
        <v>20000</v>
      </c>
      <c r="O27" s="4">
        <v>20000</v>
      </c>
      <c r="P27" s="12">
        <f t="shared" si="0"/>
        <v>180000</v>
      </c>
    </row>
    <row r="28" spans="1:16" s="6" customFormat="1" ht="18.75" customHeight="1" x14ac:dyDescent="0.2">
      <c r="A28" s="8">
        <v>22</v>
      </c>
      <c r="B28" s="13" t="s">
        <v>53</v>
      </c>
      <c r="C28" s="14">
        <v>210000</v>
      </c>
      <c r="D28" s="4">
        <v>10000</v>
      </c>
      <c r="E28" s="4">
        <v>10000</v>
      </c>
      <c r="F28" s="4">
        <v>10000</v>
      </c>
      <c r="G28" s="4">
        <v>10000</v>
      </c>
      <c r="H28" s="4">
        <v>10000</v>
      </c>
      <c r="I28" s="4">
        <v>10000</v>
      </c>
      <c r="J28" s="4">
        <v>20000</v>
      </c>
      <c r="K28" s="4">
        <v>20000</v>
      </c>
      <c r="L28" s="4">
        <v>20000</v>
      </c>
      <c r="M28" s="4">
        <v>20000</v>
      </c>
      <c r="N28" s="4">
        <v>20000</v>
      </c>
      <c r="O28" s="4">
        <v>20000</v>
      </c>
      <c r="P28" s="12">
        <f t="shared" si="0"/>
        <v>180000</v>
      </c>
    </row>
    <row r="29" spans="1:16" s="6" customFormat="1" ht="18.75" customHeight="1" x14ac:dyDescent="0.2">
      <c r="A29" s="8">
        <v>23</v>
      </c>
      <c r="B29" s="13" t="s">
        <v>54</v>
      </c>
      <c r="C29" s="15"/>
      <c r="D29" s="67"/>
      <c r="E29" s="67"/>
      <c r="F29" s="67"/>
      <c r="G29" s="67"/>
      <c r="H29" s="67"/>
      <c r="I29" s="67"/>
      <c r="J29" s="68"/>
      <c r="K29" s="68"/>
      <c r="L29" s="68"/>
      <c r="M29" s="68"/>
      <c r="N29" s="4">
        <v>20000</v>
      </c>
      <c r="O29" s="4">
        <v>20000</v>
      </c>
      <c r="P29" s="12">
        <f t="shared" si="0"/>
        <v>40000</v>
      </c>
    </row>
    <row r="30" spans="1:16" s="6" customFormat="1" ht="18.75" customHeight="1" x14ac:dyDescent="0.2">
      <c r="A30" s="8"/>
      <c r="B30" s="13" t="s">
        <v>56</v>
      </c>
      <c r="C30" s="15"/>
      <c r="D30" s="4">
        <v>10000</v>
      </c>
      <c r="E30" s="4">
        <v>10000</v>
      </c>
      <c r="F30" s="4">
        <v>10000</v>
      </c>
      <c r="G30" s="4">
        <v>10000</v>
      </c>
      <c r="H30" s="4">
        <v>10000</v>
      </c>
      <c r="I30" s="4">
        <v>10000</v>
      </c>
      <c r="J30" s="4">
        <v>20000</v>
      </c>
      <c r="K30" s="4">
        <v>20000</v>
      </c>
      <c r="L30" s="4">
        <v>20000</v>
      </c>
      <c r="M30" s="4">
        <v>20000</v>
      </c>
      <c r="N30" s="4">
        <v>20000</v>
      </c>
      <c r="O30" s="4">
        <v>20000</v>
      </c>
      <c r="P30" s="12">
        <f t="shared" si="0"/>
        <v>180000</v>
      </c>
    </row>
    <row r="31" spans="1:16" s="6" customFormat="1" ht="18.75" customHeight="1" x14ac:dyDescent="0.2">
      <c r="A31" s="8"/>
      <c r="B31" s="13"/>
      <c r="C31" s="15"/>
      <c r="D31" s="5"/>
      <c r="E31" s="5"/>
      <c r="F31" s="5"/>
      <c r="G31" s="5"/>
      <c r="H31" s="5"/>
      <c r="I31" s="5"/>
      <c r="J31" s="11"/>
      <c r="K31" s="11"/>
      <c r="L31" s="11"/>
      <c r="M31" s="11"/>
      <c r="N31" s="24"/>
      <c r="O31" s="25" t="s">
        <v>47</v>
      </c>
      <c r="P31" s="26">
        <f>SUM(P3:P29)</f>
        <v>2780000</v>
      </c>
    </row>
  </sheetData>
  <mergeCells count="1">
    <mergeCell ref="D1:P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7FDE-2396-854C-A435-FD86F08897CC}">
  <dimension ref="A1:R30"/>
  <sheetViews>
    <sheetView workbookViewId="0">
      <selection sqref="A1:XFD1048576"/>
    </sheetView>
  </sheetViews>
  <sheetFormatPr baseColWidth="10" defaultColWidth="12" defaultRowHeight="12.75" x14ac:dyDescent="0.2"/>
  <cols>
    <col min="1" max="1" width="6.33203125" style="1" customWidth="1"/>
    <col min="2" max="2" width="55" style="1" customWidth="1"/>
    <col min="3" max="3" width="20.6640625" style="7" hidden="1" customWidth="1"/>
    <col min="4" max="4" width="12.6640625" style="1" hidden="1" customWidth="1"/>
    <col min="5" max="9" width="11.33203125" style="1" hidden="1" customWidth="1"/>
    <col min="10" max="16" width="12" style="3"/>
    <col min="17" max="17" width="15.6640625" style="3" customWidth="1"/>
    <col min="18" max="18" width="0" style="3" hidden="1" customWidth="1"/>
    <col min="19" max="16384" width="12" style="3"/>
  </cols>
  <sheetData>
    <row r="1" spans="1:18" ht="20.100000000000001" customHeight="1" x14ac:dyDescent="0.2">
      <c r="A1" s="19"/>
      <c r="B1" s="19"/>
      <c r="C1" s="20"/>
      <c r="D1" s="112" t="s">
        <v>25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74"/>
      <c r="Q1" s="74"/>
      <c r="R1" s="71"/>
    </row>
    <row r="2" spans="1:18" s="2" customFormat="1" x14ac:dyDescent="0.2">
      <c r="A2" s="21"/>
      <c r="B2" s="22" t="s">
        <v>0</v>
      </c>
      <c r="C2" s="22" t="s">
        <v>36</v>
      </c>
      <c r="D2" s="72" t="s">
        <v>26</v>
      </c>
      <c r="E2" s="72" t="s">
        <v>43</v>
      </c>
      <c r="F2" s="72" t="s">
        <v>27</v>
      </c>
      <c r="G2" s="72" t="s">
        <v>28</v>
      </c>
      <c r="H2" s="72" t="s">
        <v>29</v>
      </c>
      <c r="I2" s="72" t="s">
        <v>30</v>
      </c>
      <c r="J2" s="72" t="s">
        <v>1</v>
      </c>
      <c r="K2" s="72" t="s">
        <v>31</v>
      </c>
      <c r="L2" s="72" t="s">
        <v>32</v>
      </c>
      <c r="M2" s="72" t="s">
        <v>33</v>
      </c>
      <c r="N2" s="72" t="s">
        <v>34</v>
      </c>
      <c r="O2" s="72" t="s">
        <v>35</v>
      </c>
      <c r="P2" s="72" t="s">
        <v>57</v>
      </c>
      <c r="Q2" s="72" t="s">
        <v>58</v>
      </c>
      <c r="R2" s="73" t="s">
        <v>55</v>
      </c>
    </row>
    <row r="3" spans="1:18" s="6" customFormat="1" ht="18.75" customHeight="1" x14ac:dyDescent="0.2">
      <c r="A3" s="8">
        <v>1</v>
      </c>
      <c r="B3" s="9" t="s">
        <v>3</v>
      </c>
      <c r="C3" s="10">
        <v>45461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4">
        <v>20000</v>
      </c>
      <c r="K3" s="4">
        <v>20000</v>
      </c>
      <c r="L3" s="4">
        <v>20000</v>
      </c>
      <c r="M3" s="4">
        <v>20000</v>
      </c>
      <c r="N3" s="4">
        <v>20000</v>
      </c>
      <c r="O3" s="4">
        <v>20000</v>
      </c>
      <c r="P3" s="70"/>
      <c r="Q3" s="70"/>
      <c r="R3" s="12">
        <f t="shared" ref="R3:R25" si="0">SUM(J3:O3)</f>
        <v>120000</v>
      </c>
    </row>
    <row r="4" spans="1:18" s="6" customFormat="1" ht="18.75" customHeight="1" x14ac:dyDescent="0.2">
      <c r="A4" s="8">
        <v>2</v>
      </c>
      <c r="B4" s="77" t="s">
        <v>5</v>
      </c>
      <c r="C4" s="10">
        <v>45436</v>
      </c>
      <c r="D4" s="4">
        <v>10000</v>
      </c>
      <c r="E4" s="4">
        <v>10000</v>
      </c>
      <c r="F4" s="4">
        <v>10000</v>
      </c>
      <c r="G4" s="4">
        <v>10000</v>
      </c>
      <c r="H4" s="4">
        <v>10000</v>
      </c>
      <c r="I4" s="5">
        <v>10000</v>
      </c>
      <c r="J4" s="4">
        <v>20000</v>
      </c>
      <c r="K4" s="4">
        <v>20000</v>
      </c>
      <c r="L4" s="4">
        <v>20000</v>
      </c>
      <c r="M4" s="4">
        <v>20000</v>
      </c>
      <c r="N4" s="4">
        <v>20000</v>
      </c>
      <c r="O4" s="4">
        <v>20000</v>
      </c>
      <c r="P4" s="75">
        <v>45000</v>
      </c>
      <c r="Q4" s="70"/>
      <c r="R4" s="12">
        <f t="shared" si="0"/>
        <v>120000</v>
      </c>
    </row>
    <row r="5" spans="1:18" s="6" customFormat="1" ht="18.75" customHeight="1" x14ac:dyDescent="0.2">
      <c r="A5" s="8">
        <v>3</v>
      </c>
      <c r="B5" s="9" t="s">
        <v>6</v>
      </c>
      <c r="C5" s="10">
        <v>45360</v>
      </c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4">
        <v>10000</v>
      </c>
      <c r="J5" s="4">
        <v>20000</v>
      </c>
      <c r="K5" s="4">
        <v>20000</v>
      </c>
      <c r="L5" s="4">
        <v>20000</v>
      </c>
      <c r="M5" s="4">
        <v>20000</v>
      </c>
      <c r="N5" s="4">
        <v>20000</v>
      </c>
      <c r="O5" s="4">
        <v>20000</v>
      </c>
      <c r="P5" s="75">
        <v>15000</v>
      </c>
      <c r="Q5" s="69"/>
      <c r="R5" s="12">
        <f t="shared" si="0"/>
        <v>120000</v>
      </c>
    </row>
    <row r="6" spans="1:18" s="6" customFormat="1" ht="18.75" customHeight="1" x14ac:dyDescent="0.2">
      <c r="A6" s="8">
        <v>4</v>
      </c>
      <c r="B6" s="9" t="s">
        <v>7</v>
      </c>
      <c r="C6" s="10"/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69"/>
      <c r="K6" s="69"/>
      <c r="L6" s="69"/>
      <c r="M6" s="69"/>
      <c r="N6" s="69"/>
      <c r="O6" s="69"/>
      <c r="P6" s="69"/>
      <c r="Q6" s="69"/>
      <c r="R6" s="12">
        <f t="shared" si="0"/>
        <v>0</v>
      </c>
    </row>
    <row r="7" spans="1:18" s="6" customFormat="1" ht="18.75" customHeight="1" x14ac:dyDescent="0.2">
      <c r="A7" s="8">
        <v>5</v>
      </c>
      <c r="B7" s="77" t="s">
        <v>8</v>
      </c>
      <c r="C7" s="10">
        <v>45461</v>
      </c>
      <c r="D7" s="4">
        <v>10000</v>
      </c>
      <c r="E7" s="4">
        <v>10000</v>
      </c>
      <c r="F7" s="4">
        <v>10000</v>
      </c>
      <c r="G7" s="4">
        <v>10000</v>
      </c>
      <c r="H7" s="4">
        <v>10000</v>
      </c>
      <c r="I7" s="4">
        <v>10000</v>
      </c>
      <c r="J7" s="4">
        <v>20000</v>
      </c>
      <c r="K7" s="4">
        <v>20000</v>
      </c>
      <c r="L7" s="4">
        <v>20000</v>
      </c>
      <c r="M7" s="70"/>
      <c r="N7" s="70"/>
      <c r="O7" s="70"/>
      <c r="P7" s="70"/>
      <c r="Q7" s="70"/>
      <c r="R7" s="12">
        <f t="shared" si="0"/>
        <v>60000</v>
      </c>
    </row>
    <row r="8" spans="1:18" s="6" customFormat="1" ht="18.75" customHeight="1" x14ac:dyDescent="0.2">
      <c r="A8" s="8">
        <v>6</v>
      </c>
      <c r="B8" s="77" t="s">
        <v>9</v>
      </c>
      <c r="C8" s="10"/>
      <c r="D8" s="65"/>
      <c r="E8" s="65"/>
      <c r="F8" s="65"/>
      <c r="G8" s="65"/>
      <c r="H8" s="65"/>
      <c r="I8" s="65"/>
      <c r="J8" s="69"/>
      <c r="K8" s="69"/>
      <c r="L8" s="69"/>
      <c r="M8" s="69"/>
      <c r="N8" s="69"/>
      <c r="O8" s="69"/>
      <c r="P8" s="76">
        <v>30000</v>
      </c>
      <c r="Q8" s="69"/>
      <c r="R8" s="12">
        <f t="shared" si="0"/>
        <v>0</v>
      </c>
    </row>
    <row r="9" spans="1:18" s="6" customFormat="1" ht="18.75" customHeight="1" x14ac:dyDescent="0.2">
      <c r="A9" s="8">
        <v>7</v>
      </c>
      <c r="B9" s="77" t="s">
        <v>10</v>
      </c>
      <c r="C9" s="10">
        <v>45461</v>
      </c>
      <c r="D9" s="4">
        <v>10000</v>
      </c>
      <c r="E9" s="4">
        <v>10000</v>
      </c>
      <c r="F9" s="4">
        <v>10000</v>
      </c>
      <c r="G9" s="4">
        <v>10000</v>
      </c>
      <c r="H9" s="4">
        <v>10000</v>
      </c>
      <c r="I9" s="4">
        <v>10000</v>
      </c>
      <c r="J9" s="4">
        <v>20000</v>
      </c>
      <c r="K9" s="4">
        <v>20000</v>
      </c>
      <c r="L9" s="4">
        <v>20000</v>
      </c>
      <c r="M9" s="4">
        <v>20000</v>
      </c>
      <c r="N9" s="4">
        <v>20000</v>
      </c>
      <c r="O9" s="4">
        <v>20000</v>
      </c>
      <c r="P9" s="75">
        <v>15000</v>
      </c>
      <c r="Q9" s="75">
        <v>30000</v>
      </c>
      <c r="R9" s="12">
        <f t="shared" si="0"/>
        <v>120000</v>
      </c>
    </row>
    <row r="10" spans="1:18" s="6" customFormat="1" ht="18.75" customHeight="1" x14ac:dyDescent="0.2">
      <c r="A10" s="8">
        <v>8</v>
      </c>
      <c r="B10" s="77" t="s">
        <v>11</v>
      </c>
      <c r="C10" s="10">
        <v>45412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20000</v>
      </c>
      <c r="K10" s="4">
        <v>20000</v>
      </c>
      <c r="L10" s="4">
        <v>20000</v>
      </c>
      <c r="M10" s="4">
        <v>20000</v>
      </c>
      <c r="N10" s="4">
        <v>20000</v>
      </c>
      <c r="O10" s="4">
        <v>20000</v>
      </c>
      <c r="P10" s="75">
        <v>15000</v>
      </c>
      <c r="Q10" s="69"/>
      <c r="R10" s="12">
        <f t="shared" si="0"/>
        <v>120000</v>
      </c>
    </row>
    <row r="11" spans="1:18" s="6" customFormat="1" ht="18.75" customHeight="1" x14ac:dyDescent="0.2">
      <c r="A11" s="8">
        <v>9</v>
      </c>
      <c r="B11" s="77" t="s">
        <v>12</v>
      </c>
      <c r="C11" s="10">
        <v>45403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4">
        <v>10000</v>
      </c>
      <c r="K11" s="4">
        <v>10000</v>
      </c>
      <c r="L11" s="4">
        <v>10000</v>
      </c>
      <c r="M11" s="4">
        <v>10000</v>
      </c>
      <c r="N11" s="4">
        <v>10000</v>
      </c>
      <c r="O11" s="4">
        <v>10000</v>
      </c>
      <c r="P11" s="70"/>
      <c r="Q11" s="70"/>
      <c r="R11" s="12">
        <f t="shared" si="0"/>
        <v>60000</v>
      </c>
    </row>
    <row r="12" spans="1:18" s="6" customFormat="1" ht="18.75" customHeight="1" x14ac:dyDescent="0.2">
      <c r="A12" s="8">
        <v>10</v>
      </c>
      <c r="B12" s="77" t="s">
        <v>14</v>
      </c>
      <c r="C12" s="10"/>
      <c r="D12" s="55"/>
      <c r="E12" s="55"/>
      <c r="F12" s="55"/>
      <c r="G12" s="55"/>
      <c r="H12" s="55"/>
      <c r="I12" s="55"/>
      <c r="J12" s="69"/>
      <c r="K12" s="69"/>
      <c r="L12" s="69"/>
      <c r="M12" s="69"/>
      <c r="N12" s="69"/>
      <c r="O12" s="69"/>
      <c r="P12" s="69"/>
      <c r="Q12" s="69"/>
      <c r="R12" s="12">
        <f t="shared" si="0"/>
        <v>0</v>
      </c>
    </row>
    <row r="13" spans="1:18" s="6" customFormat="1" ht="18.75" customHeight="1" x14ac:dyDescent="0.2">
      <c r="A13" s="8">
        <v>11</v>
      </c>
      <c r="B13" s="9" t="s">
        <v>15</v>
      </c>
      <c r="C13" s="10">
        <v>45404</v>
      </c>
      <c r="D13" s="4">
        <v>10000</v>
      </c>
      <c r="E13" s="4">
        <v>10000</v>
      </c>
      <c r="F13" s="4">
        <v>10000</v>
      </c>
      <c r="G13" s="4">
        <v>10000</v>
      </c>
      <c r="H13" s="4">
        <v>10000</v>
      </c>
      <c r="I13" s="4">
        <v>10000</v>
      </c>
      <c r="J13" s="4">
        <v>20000</v>
      </c>
      <c r="K13" s="4">
        <v>20000</v>
      </c>
      <c r="L13" s="4">
        <v>20000</v>
      </c>
      <c r="M13" s="4">
        <v>20000</v>
      </c>
      <c r="N13" s="4">
        <v>20000</v>
      </c>
      <c r="O13" s="4">
        <v>20000</v>
      </c>
      <c r="P13" s="75">
        <v>45000</v>
      </c>
      <c r="Q13" s="69"/>
      <c r="R13" s="12">
        <f t="shared" si="0"/>
        <v>120000</v>
      </c>
    </row>
    <row r="14" spans="1:18" s="6" customFormat="1" ht="18.75" customHeight="1" x14ac:dyDescent="0.2">
      <c r="A14" s="8">
        <v>12</v>
      </c>
      <c r="B14" s="9" t="s">
        <v>16</v>
      </c>
      <c r="C14" s="10"/>
      <c r="D14" s="4">
        <v>10000</v>
      </c>
      <c r="E14" s="4">
        <v>10000</v>
      </c>
      <c r="F14" s="4">
        <v>10000</v>
      </c>
      <c r="G14" s="4">
        <v>10000</v>
      </c>
      <c r="H14" s="4">
        <v>10000</v>
      </c>
      <c r="I14" s="4">
        <v>10000</v>
      </c>
      <c r="J14" s="4">
        <v>20000</v>
      </c>
      <c r="K14" s="4">
        <v>20000</v>
      </c>
      <c r="L14" s="69"/>
      <c r="M14" s="69"/>
      <c r="N14" s="69"/>
      <c r="O14" s="69"/>
      <c r="P14" s="69"/>
      <c r="Q14" s="69"/>
      <c r="R14" s="12">
        <f t="shared" si="0"/>
        <v>40000</v>
      </c>
    </row>
    <row r="15" spans="1:18" s="6" customFormat="1" ht="18.75" customHeight="1" x14ac:dyDescent="0.2">
      <c r="A15" s="8">
        <v>13</v>
      </c>
      <c r="B15" s="9" t="s">
        <v>17</v>
      </c>
      <c r="C15" s="10">
        <v>45403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20000</v>
      </c>
      <c r="K15" s="4">
        <v>20000</v>
      </c>
      <c r="L15" s="69"/>
      <c r="M15" s="69"/>
      <c r="N15" s="69"/>
      <c r="O15" s="69"/>
      <c r="P15" s="75">
        <v>15000</v>
      </c>
      <c r="Q15" s="69"/>
      <c r="R15" s="12">
        <f t="shared" si="0"/>
        <v>40000</v>
      </c>
    </row>
    <row r="16" spans="1:18" s="6" customFormat="1" ht="18.75" customHeight="1" x14ac:dyDescent="0.2">
      <c r="A16" s="8">
        <v>14</v>
      </c>
      <c r="B16" s="9" t="s">
        <v>18</v>
      </c>
      <c r="C16" s="10">
        <v>45461</v>
      </c>
      <c r="D16" s="4">
        <v>10000</v>
      </c>
      <c r="E16" s="4">
        <v>10000</v>
      </c>
      <c r="F16" s="4">
        <v>10000</v>
      </c>
      <c r="G16" s="4">
        <v>10000</v>
      </c>
      <c r="H16" s="4">
        <v>10000</v>
      </c>
      <c r="I16" s="4">
        <v>10000</v>
      </c>
      <c r="J16" s="4">
        <v>20000</v>
      </c>
      <c r="K16" s="4">
        <v>20000</v>
      </c>
      <c r="L16" s="4">
        <v>20000</v>
      </c>
      <c r="M16" s="4">
        <v>20000</v>
      </c>
      <c r="N16" s="4">
        <v>20000</v>
      </c>
      <c r="O16" s="4">
        <v>20000</v>
      </c>
      <c r="P16" s="75">
        <v>15000</v>
      </c>
      <c r="Q16" s="70"/>
      <c r="R16" s="12">
        <f t="shared" si="0"/>
        <v>120000</v>
      </c>
    </row>
    <row r="17" spans="1:18" s="6" customFormat="1" ht="18.75" customHeight="1" x14ac:dyDescent="0.2">
      <c r="A17" s="8">
        <v>15</v>
      </c>
      <c r="B17" s="9" t="s">
        <v>19</v>
      </c>
      <c r="C17" s="10"/>
      <c r="D17" s="4">
        <v>10000</v>
      </c>
      <c r="E17" s="4">
        <v>10000</v>
      </c>
      <c r="F17" s="4">
        <v>10000</v>
      </c>
      <c r="G17" s="4">
        <v>10000</v>
      </c>
      <c r="H17" s="4">
        <v>10000</v>
      </c>
      <c r="I17" s="4">
        <v>10000</v>
      </c>
      <c r="J17" s="69"/>
      <c r="K17" s="69"/>
      <c r="L17" s="69"/>
      <c r="M17" s="69"/>
      <c r="N17" s="69"/>
      <c r="O17" s="69"/>
      <c r="P17" s="76">
        <v>30000</v>
      </c>
      <c r="Q17" s="69"/>
      <c r="R17" s="12">
        <f t="shared" si="0"/>
        <v>0</v>
      </c>
    </row>
    <row r="18" spans="1:18" s="6" customFormat="1" ht="18.75" customHeight="1" x14ac:dyDescent="0.2">
      <c r="A18" s="8">
        <v>16</v>
      </c>
      <c r="B18" s="77" t="s">
        <v>20</v>
      </c>
      <c r="C18" s="10">
        <v>45404</v>
      </c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20000</v>
      </c>
      <c r="K18" s="4">
        <v>20000</v>
      </c>
      <c r="L18" s="4">
        <v>20000</v>
      </c>
      <c r="M18" s="4">
        <v>20000</v>
      </c>
      <c r="N18" s="4">
        <v>20000</v>
      </c>
      <c r="O18" s="4">
        <v>20000</v>
      </c>
      <c r="P18" s="69"/>
      <c r="Q18" s="69"/>
      <c r="R18" s="12">
        <f t="shared" si="0"/>
        <v>120000</v>
      </c>
    </row>
    <row r="19" spans="1:18" s="6" customFormat="1" ht="18.75" customHeight="1" x14ac:dyDescent="0.2">
      <c r="A19" s="8">
        <v>17</v>
      </c>
      <c r="B19" s="77" t="s">
        <v>21</v>
      </c>
      <c r="C19" s="10">
        <v>45325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20000</v>
      </c>
      <c r="K19" s="4">
        <v>20000</v>
      </c>
      <c r="L19" s="69"/>
      <c r="M19" s="69"/>
      <c r="N19" s="69"/>
      <c r="O19" s="69"/>
      <c r="P19" s="69"/>
      <c r="Q19" s="69"/>
      <c r="R19" s="12">
        <f t="shared" si="0"/>
        <v>40000</v>
      </c>
    </row>
    <row r="20" spans="1:18" s="6" customFormat="1" ht="18.75" customHeight="1" x14ac:dyDescent="0.2">
      <c r="A20" s="8">
        <v>18</v>
      </c>
      <c r="B20" s="77" t="s">
        <v>22</v>
      </c>
      <c r="C20" s="10"/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69"/>
      <c r="K20" s="69"/>
      <c r="L20" s="69"/>
      <c r="M20" s="69"/>
      <c r="N20" s="69"/>
      <c r="O20" s="69"/>
      <c r="P20" s="69"/>
      <c r="Q20" s="69"/>
      <c r="R20" s="12">
        <f t="shared" si="0"/>
        <v>0</v>
      </c>
    </row>
    <row r="21" spans="1:18" s="6" customFormat="1" ht="18.75" customHeight="1" x14ac:dyDescent="0.2">
      <c r="A21" s="8">
        <v>19</v>
      </c>
      <c r="B21" s="13" t="s">
        <v>38</v>
      </c>
      <c r="C21" s="14">
        <v>45403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4">
        <v>20000</v>
      </c>
      <c r="K21" s="4">
        <v>20000</v>
      </c>
      <c r="L21" s="4">
        <v>20000</v>
      </c>
      <c r="M21" s="69"/>
      <c r="N21" s="69"/>
      <c r="O21" s="69"/>
      <c r="P21" s="76">
        <v>30000</v>
      </c>
      <c r="Q21" s="69"/>
      <c r="R21" s="12">
        <f t="shared" si="0"/>
        <v>60000</v>
      </c>
    </row>
    <row r="22" spans="1:18" s="6" customFormat="1" ht="18.75" customHeight="1" x14ac:dyDescent="0.2">
      <c r="A22" s="8">
        <v>20</v>
      </c>
      <c r="B22" s="13" t="s">
        <v>40</v>
      </c>
      <c r="C22" s="14"/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20000</v>
      </c>
      <c r="K22" s="4">
        <v>20000</v>
      </c>
      <c r="L22" s="4">
        <v>20000</v>
      </c>
      <c r="M22" s="4">
        <v>20000</v>
      </c>
      <c r="N22" s="4">
        <v>20000</v>
      </c>
      <c r="O22" s="4">
        <v>20000</v>
      </c>
      <c r="P22" s="70"/>
      <c r="Q22" s="70"/>
      <c r="R22" s="12">
        <f t="shared" si="0"/>
        <v>120000</v>
      </c>
    </row>
    <row r="23" spans="1:18" s="6" customFormat="1" ht="18.75" customHeight="1" x14ac:dyDescent="0.2">
      <c r="A23" s="8">
        <v>21</v>
      </c>
      <c r="B23" s="13" t="s">
        <v>53</v>
      </c>
      <c r="C23" s="14">
        <v>210000</v>
      </c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4">
        <v>20000</v>
      </c>
      <c r="K23" s="4">
        <v>20000</v>
      </c>
      <c r="L23" s="4">
        <v>20000</v>
      </c>
      <c r="M23" s="4">
        <v>20000</v>
      </c>
      <c r="N23" s="4">
        <v>20000</v>
      </c>
      <c r="O23" s="4">
        <v>20000</v>
      </c>
      <c r="P23" s="75">
        <v>45000</v>
      </c>
      <c r="Q23" s="75">
        <v>90000</v>
      </c>
      <c r="R23" s="12">
        <f t="shared" si="0"/>
        <v>120000</v>
      </c>
    </row>
    <row r="24" spans="1:18" s="6" customFormat="1" ht="18.75" customHeight="1" x14ac:dyDescent="0.2">
      <c r="A24" s="8">
        <v>22</v>
      </c>
      <c r="B24" s="13" t="s">
        <v>54</v>
      </c>
      <c r="C24" s="15"/>
      <c r="D24" s="67"/>
      <c r="E24" s="67"/>
      <c r="F24" s="67"/>
      <c r="G24" s="67"/>
      <c r="H24" s="67"/>
      <c r="I24" s="67"/>
      <c r="J24" s="68"/>
      <c r="K24" s="68"/>
      <c r="L24" s="68"/>
      <c r="M24" s="68"/>
      <c r="N24" s="4">
        <v>20000</v>
      </c>
      <c r="O24" s="4">
        <v>20000</v>
      </c>
      <c r="P24" s="75">
        <v>15000</v>
      </c>
      <c r="Q24" s="75">
        <v>30000</v>
      </c>
      <c r="R24" s="12">
        <f t="shared" si="0"/>
        <v>40000</v>
      </c>
    </row>
    <row r="25" spans="1:18" s="6" customFormat="1" ht="18.75" customHeight="1" x14ac:dyDescent="0.2">
      <c r="A25" s="8">
        <v>23</v>
      </c>
      <c r="B25" s="78" t="s">
        <v>56</v>
      </c>
      <c r="C25" s="15"/>
      <c r="D25" s="5"/>
      <c r="E25" s="5"/>
      <c r="F25" s="5"/>
      <c r="G25" s="5"/>
      <c r="H25" s="5"/>
      <c r="I25" s="5"/>
      <c r="J25" s="4">
        <v>20000</v>
      </c>
      <c r="K25" s="4">
        <v>20000</v>
      </c>
      <c r="L25" s="4">
        <v>20000</v>
      </c>
      <c r="M25" s="4">
        <v>20000</v>
      </c>
      <c r="N25" s="4">
        <v>20000</v>
      </c>
      <c r="O25" s="4">
        <v>20000</v>
      </c>
      <c r="P25" s="70"/>
      <c r="Q25" s="70"/>
      <c r="R25" s="12">
        <f t="shared" si="0"/>
        <v>120000</v>
      </c>
    </row>
    <row r="26" spans="1:18" x14ac:dyDescent="0.2">
      <c r="B26" s="1" t="s">
        <v>59</v>
      </c>
      <c r="P26" s="75">
        <v>15000</v>
      </c>
    </row>
    <row r="27" spans="1:18" x14ac:dyDescent="0.2">
      <c r="P27" s="79">
        <f>SUM(P4:P26)</f>
        <v>330000</v>
      </c>
      <c r="Q27" s="79">
        <f>SUM(Q9:Q26)</f>
        <v>150000</v>
      </c>
    </row>
    <row r="28" spans="1:18" x14ac:dyDescent="0.2">
      <c r="F28" s="1">
        <v>58</v>
      </c>
    </row>
    <row r="29" spans="1:18" x14ac:dyDescent="0.2">
      <c r="F29" s="1">
        <v>10000</v>
      </c>
    </row>
    <row r="30" spans="1:18" x14ac:dyDescent="0.2">
      <c r="F30" s="1">
        <f>F28*F29</f>
        <v>580000</v>
      </c>
    </row>
  </sheetData>
  <mergeCells count="1">
    <mergeCell ref="D1:O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693E-5C4E-2D46-A210-53DF04509340}">
  <dimension ref="A1:P30"/>
  <sheetViews>
    <sheetView topLeftCell="A14" workbookViewId="0">
      <selection activeCell="Q8" sqref="Q8"/>
    </sheetView>
  </sheetViews>
  <sheetFormatPr baseColWidth="10" defaultColWidth="54.1640625" defaultRowHeight="12.75" x14ac:dyDescent="0.2"/>
  <cols>
    <col min="1" max="1" width="6.1640625" style="1" customWidth="1"/>
    <col min="2" max="2" width="54.1640625" style="1"/>
    <col min="3" max="3" width="6" style="1" customWidth="1"/>
    <col min="4" max="4" width="10.83203125" style="1" customWidth="1"/>
    <col min="5" max="5" width="10.6640625" style="1" customWidth="1"/>
    <col min="6" max="6" width="10.83203125" style="1" customWidth="1"/>
    <col min="7" max="9" width="10.6640625" style="1" customWidth="1"/>
    <col min="10" max="10" width="11.33203125" style="3" customWidth="1"/>
    <col min="11" max="11" width="11.1640625" style="3" customWidth="1"/>
    <col min="12" max="12" width="11" style="3" customWidth="1"/>
    <col min="13" max="13" width="10.6640625" style="3" customWidth="1"/>
    <col min="14" max="14" width="11.1640625" style="3" customWidth="1"/>
    <col min="15" max="15" width="10.83203125" style="3" customWidth="1"/>
    <col min="16" max="16" width="17.1640625" style="3" customWidth="1"/>
    <col min="17" max="16384" width="54.1640625" style="3"/>
  </cols>
  <sheetData>
    <row r="1" spans="1:16" ht="20.100000000000001" customHeight="1" x14ac:dyDescent="0.2">
      <c r="A1" s="19"/>
      <c r="B1" s="19"/>
      <c r="C1" s="19"/>
      <c r="D1" s="112" t="s">
        <v>25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71"/>
    </row>
    <row r="2" spans="1:16" s="2" customFormat="1" x14ac:dyDescent="0.2">
      <c r="A2" s="21"/>
      <c r="B2" s="22" t="s">
        <v>0</v>
      </c>
      <c r="C2" s="22"/>
      <c r="D2" s="72" t="s">
        <v>26</v>
      </c>
      <c r="E2" s="72" t="s">
        <v>43</v>
      </c>
      <c r="F2" s="72" t="s">
        <v>27</v>
      </c>
      <c r="G2" s="72" t="s">
        <v>28</v>
      </c>
      <c r="H2" s="72" t="s">
        <v>29</v>
      </c>
      <c r="I2" s="72" t="s">
        <v>30</v>
      </c>
      <c r="J2" s="72" t="s">
        <v>1</v>
      </c>
      <c r="K2" s="72" t="s">
        <v>31</v>
      </c>
      <c r="L2" s="72" t="s">
        <v>32</v>
      </c>
      <c r="M2" s="72" t="s">
        <v>33</v>
      </c>
      <c r="N2" s="72" t="s">
        <v>34</v>
      </c>
      <c r="O2" s="72" t="s">
        <v>35</v>
      </c>
      <c r="P2" s="73" t="s">
        <v>55</v>
      </c>
    </row>
    <row r="3" spans="1:16" s="6" customFormat="1" ht="18.75" customHeight="1" x14ac:dyDescent="0.2">
      <c r="A3" s="8">
        <v>1</v>
      </c>
      <c r="B3" s="80" t="s">
        <v>3</v>
      </c>
      <c r="C3" s="9" t="s">
        <v>61</v>
      </c>
      <c r="D3" s="4">
        <v>10000</v>
      </c>
      <c r="E3" s="4">
        <v>10000</v>
      </c>
      <c r="F3" s="4">
        <v>10000</v>
      </c>
      <c r="G3" s="4">
        <v>10000</v>
      </c>
      <c r="H3" s="4">
        <v>10000</v>
      </c>
      <c r="I3" s="4">
        <v>10000</v>
      </c>
      <c r="J3" s="4">
        <v>20000</v>
      </c>
      <c r="K3" s="4">
        <v>20000</v>
      </c>
      <c r="L3" s="4">
        <v>20000</v>
      </c>
      <c r="M3" s="4">
        <v>20000</v>
      </c>
      <c r="N3" s="4">
        <v>20000</v>
      </c>
      <c r="O3" s="4">
        <v>20000</v>
      </c>
      <c r="P3" s="12">
        <f t="shared" ref="P3:P25" si="0">SUM(J3:O3)</f>
        <v>120000</v>
      </c>
    </row>
    <row r="4" spans="1:16" s="6" customFormat="1" ht="18.75" customHeight="1" x14ac:dyDescent="0.2">
      <c r="A4" s="8">
        <v>2</v>
      </c>
      <c r="B4" s="80" t="s">
        <v>5</v>
      </c>
      <c r="C4" s="9"/>
      <c r="D4" s="4">
        <v>10000</v>
      </c>
      <c r="E4" s="4">
        <v>10000</v>
      </c>
      <c r="F4" s="4">
        <v>10000</v>
      </c>
      <c r="G4" s="4">
        <v>10000</v>
      </c>
      <c r="H4" s="4">
        <v>10000</v>
      </c>
      <c r="I4" s="5">
        <v>10000</v>
      </c>
      <c r="J4" s="4">
        <v>20000</v>
      </c>
      <c r="K4" s="4">
        <v>20000</v>
      </c>
      <c r="L4" s="4">
        <v>20000</v>
      </c>
      <c r="M4" s="4">
        <v>20000</v>
      </c>
      <c r="N4" s="4">
        <v>20000</v>
      </c>
      <c r="O4" s="4">
        <v>20000</v>
      </c>
      <c r="P4" s="12">
        <f t="shared" si="0"/>
        <v>120000</v>
      </c>
    </row>
    <row r="5" spans="1:16" s="6" customFormat="1" ht="18.75" customHeight="1" x14ac:dyDescent="0.2">
      <c r="A5" s="8">
        <v>3</v>
      </c>
      <c r="B5" s="80" t="s">
        <v>6</v>
      </c>
      <c r="C5" s="9" t="s">
        <v>61</v>
      </c>
      <c r="D5" s="4">
        <v>10000</v>
      </c>
      <c r="E5" s="4">
        <v>10000</v>
      </c>
      <c r="F5" s="4">
        <v>10000</v>
      </c>
      <c r="G5" s="4">
        <v>10000</v>
      </c>
      <c r="H5" s="4">
        <v>10000</v>
      </c>
      <c r="I5" s="4">
        <v>10000</v>
      </c>
      <c r="J5" s="4">
        <v>20000</v>
      </c>
      <c r="K5" s="4">
        <v>20000</v>
      </c>
      <c r="L5" s="4">
        <v>20000</v>
      </c>
      <c r="M5" s="4">
        <v>20000</v>
      </c>
      <c r="N5" s="4">
        <v>20000</v>
      </c>
      <c r="O5" s="4">
        <v>20000</v>
      </c>
      <c r="P5" s="12">
        <f>SUM(J5:O5)</f>
        <v>120000</v>
      </c>
    </row>
    <row r="6" spans="1:16" s="6" customFormat="1" ht="18.75" customHeight="1" x14ac:dyDescent="0.2">
      <c r="A6" s="8">
        <v>4</v>
      </c>
      <c r="B6" s="80" t="s">
        <v>7</v>
      </c>
      <c r="C6" s="9" t="s">
        <v>61</v>
      </c>
      <c r="D6" s="4">
        <v>10000</v>
      </c>
      <c r="E6" s="4">
        <v>10000</v>
      </c>
      <c r="F6" s="4">
        <v>10000</v>
      </c>
      <c r="G6" s="4">
        <v>10000</v>
      </c>
      <c r="H6" s="4">
        <v>10000</v>
      </c>
      <c r="I6" s="4">
        <v>10000</v>
      </c>
      <c r="J6" s="4">
        <v>20000</v>
      </c>
      <c r="K6" s="4">
        <v>20000</v>
      </c>
      <c r="L6" s="4">
        <v>20000</v>
      </c>
      <c r="M6" s="4">
        <v>20000</v>
      </c>
      <c r="N6" s="4">
        <v>20000</v>
      </c>
      <c r="O6" s="4">
        <v>20000</v>
      </c>
      <c r="P6" s="12">
        <f>SUM(J6:O6)</f>
        <v>120000</v>
      </c>
    </row>
    <row r="7" spans="1:16" s="6" customFormat="1" ht="18.75" customHeight="1" x14ac:dyDescent="0.2">
      <c r="A7" s="8">
        <v>5</v>
      </c>
      <c r="B7" s="80" t="s">
        <v>8</v>
      </c>
      <c r="C7" s="9" t="s">
        <v>61</v>
      </c>
      <c r="D7" s="4">
        <v>10000</v>
      </c>
      <c r="E7" s="4">
        <v>10000</v>
      </c>
      <c r="F7" s="4">
        <v>10000</v>
      </c>
      <c r="G7" s="4">
        <v>10000</v>
      </c>
      <c r="H7" s="4">
        <v>10000</v>
      </c>
      <c r="I7" s="4">
        <v>10000</v>
      </c>
      <c r="J7" s="4">
        <v>20000</v>
      </c>
      <c r="K7" s="4">
        <v>20000</v>
      </c>
      <c r="L7" s="4">
        <v>20000</v>
      </c>
      <c r="M7" s="4">
        <v>20000</v>
      </c>
      <c r="N7" s="4">
        <v>20000</v>
      </c>
      <c r="O7" s="4">
        <v>20000</v>
      </c>
      <c r="P7" s="12">
        <f t="shared" si="0"/>
        <v>120000</v>
      </c>
    </row>
    <row r="8" spans="1:16" s="6" customFormat="1" ht="18.75" customHeight="1" x14ac:dyDescent="0.2">
      <c r="A8" s="8"/>
      <c r="B8" s="77" t="s">
        <v>9</v>
      </c>
      <c r="C8" s="9"/>
      <c r="D8" s="65"/>
      <c r="E8" s="65"/>
      <c r="F8" s="65"/>
      <c r="G8" s="65"/>
      <c r="H8" s="65"/>
      <c r="I8" s="65"/>
      <c r="J8" s="64"/>
      <c r="K8" s="64"/>
      <c r="L8" s="64"/>
      <c r="M8" s="64"/>
      <c r="N8" s="64"/>
      <c r="O8" s="64"/>
      <c r="P8" s="12">
        <f t="shared" si="0"/>
        <v>0</v>
      </c>
    </row>
    <row r="9" spans="1:16" s="6" customFormat="1" ht="18.75" customHeight="1" x14ac:dyDescent="0.2">
      <c r="A9" s="8">
        <v>6</v>
      </c>
      <c r="B9" s="80" t="s">
        <v>10</v>
      </c>
      <c r="C9" s="9" t="s">
        <v>61</v>
      </c>
      <c r="D9" s="4">
        <v>10000</v>
      </c>
      <c r="E9" s="4">
        <v>10000</v>
      </c>
      <c r="F9" s="4">
        <v>10000</v>
      </c>
      <c r="G9" s="4">
        <v>10000</v>
      </c>
      <c r="H9" s="4">
        <v>10000</v>
      </c>
      <c r="I9" s="4">
        <v>10000</v>
      </c>
      <c r="J9" s="4">
        <v>20000</v>
      </c>
      <c r="K9" s="4">
        <v>20000</v>
      </c>
      <c r="L9" s="4">
        <v>20000</v>
      </c>
      <c r="M9" s="4">
        <v>20000</v>
      </c>
      <c r="N9" s="4">
        <v>20000</v>
      </c>
      <c r="O9" s="4">
        <v>20000</v>
      </c>
      <c r="P9" s="12">
        <f t="shared" si="0"/>
        <v>120000</v>
      </c>
    </row>
    <row r="10" spans="1:16" s="6" customFormat="1" ht="18.75" customHeight="1" x14ac:dyDescent="0.2">
      <c r="A10" s="8">
        <v>7</v>
      </c>
      <c r="B10" s="80" t="s">
        <v>11</v>
      </c>
      <c r="C10" s="9" t="s">
        <v>61</v>
      </c>
      <c r="D10" s="4">
        <v>10000</v>
      </c>
      <c r="E10" s="4">
        <v>10000</v>
      </c>
      <c r="F10" s="4">
        <v>10000</v>
      </c>
      <c r="G10" s="4">
        <v>10000</v>
      </c>
      <c r="H10" s="4">
        <v>10000</v>
      </c>
      <c r="I10" s="4">
        <v>10000</v>
      </c>
      <c r="J10" s="4">
        <v>20000</v>
      </c>
      <c r="K10" s="4">
        <v>20000</v>
      </c>
      <c r="L10" s="4">
        <v>20000</v>
      </c>
      <c r="M10" s="4">
        <v>20000</v>
      </c>
      <c r="N10" s="4">
        <v>20000</v>
      </c>
      <c r="O10" s="4">
        <v>20000</v>
      </c>
      <c r="P10" s="12">
        <f t="shared" si="0"/>
        <v>120000</v>
      </c>
    </row>
    <row r="11" spans="1:16" s="6" customFormat="1" ht="18.75" customHeight="1" x14ac:dyDescent="0.2">
      <c r="A11" s="8">
        <v>8</v>
      </c>
      <c r="B11" s="80" t="s">
        <v>12</v>
      </c>
      <c r="C11" s="9" t="s">
        <v>61</v>
      </c>
      <c r="D11" s="4">
        <v>10000</v>
      </c>
      <c r="E11" s="4">
        <v>10000</v>
      </c>
      <c r="F11" s="4">
        <v>10000</v>
      </c>
      <c r="G11" s="4">
        <v>10000</v>
      </c>
      <c r="H11" s="4">
        <v>10000</v>
      </c>
      <c r="I11" s="4">
        <v>10000</v>
      </c>
      <c r="J11" s="4">
        <v>10000</v>
      </c>
      <c r="K11" s="4">
        <v>10000</v>
      </c>
      <c r="L11" s="4">
        <v>10000</v>
      </c>
      <c r="M11" s="4">
        <v>10000</v>
      </c>
      <c r="N11" s="4">
        <v>10000</v>
      </c>
      <c r="O11" s="4">
        <v>10000</v>
      </c>
      <c r="P11" s="12">
        <f t="shared" si="0"/>
        <v>60000</v>
      </c>
    </row>
    <row r="12" spans="1:16" s="6" customFormat="1" ht="18.75" customHeight="1" x14ac:dyDescent="0.2">
      <c r="A12" s="8">
        <v>9</v>
      </c>
      <c r="B12" s="80" t="s">
        <v>14</v>
      </c>
      <c r="C12" s="9" t="s">
        <v>61</v>
      </c>
      <c r="D12" s="4">
        <v>10000</v>
      </c>
      <c r="E12" s="4">
        <v>10000</v>
      </c>
      <c r="F12" s="4">
        <v>10000</v>
      </c>
      <c r="G12" s="4">
        <v>10000</v>
      </c>
      <c r="H12" s="4">
        <v>10000</v>
      </c>
      <c r="I12" s="4">
        <v>10000</v>
      </c>
      <c r="J12" s="4">
        <v>20000</v>
      </c>
      <c r="K12" s="4">
        <v>20000</v>
      </c>
      <c r="L12" s="4">
        <v>20000</v>
      </c>
      <c r="M12" s="4">
        <v>20000</v>
      </c>
      <c r="N12" s="4">
        <v>20000</v>
      </c>
      <c r="O12" s="4">
        <v>20000</v>
      </c>
      <c r="P12" s="12">
        <f t="shared" si="0"/>
        <v>120000</v>
      </c>
    </row>
    <row r="13" spans="1:16" s="6" customFormat="1" ht="18.75" customHeight="1" x14ac:dyDescent="0.2">
      <c r="A13" s="8">
        <v>10</v>
      </c>
      <c r="B13" s="80" t="s">
        <v>15</v>
      </c>
      <c r="C13" s="9" t="s">
        <v>61</v>
      </c>
      <c r="D13" s="4">
        <v>10000</v>
      </c>
      <c r="E13" s="4">
        <v>10000</v>
      </c>
      <c r="F13" s="4">
        <v>10000</v>
      </c>
      <c r="G13" s="4">
        <v>10000</v>
      </c>
      <c r="H13" s="4">
        <v>10000</v>
      </c>
      <c r="I13" s="4">
        <v>10000</v>
      </c>
      <c r="J13" s="4">
        <v>20000</v>
      </c>
      <c r="K13" s="4">
        <v>20000</v>
      </c>
      <c r="L13" s="4">
        <v>20000</v>
      </c>
      <c r="M13" s="4">
        <v>20000</v>
      </c>
      <c r="N13" s="4">
        <v>20000</v>
      </c>
      <c r="O13" s="4">
        <v>20000</v>
      </c>
      <c r="P13" s="12">
        <f t="shared" si="0"/>
        <v>120000</v>
      </c>
    </row>
    <row r="14" spans="1:16" s="6" customFormat="1" ht="18.75" customHeight="1" x14ac:dyDescent="0.2">
      <c r="A14" s="8">
        <v>11</v>
      </c>
      <c r="B14" s="80" t="s">
        <v>16</v>
      </c>
      <c r="C14" s="9" t="s">
        <v>61</v>
      </c>
      <c r="D14" s="4">
        <v>10000</v>
      </c>
      <c r="E14" s="4">
        <v>10000</v>
      </c>
      <c r="F14" s="4">
        <v>10000</v>
      </c>
      <c r="G14" s="4">
        <v>10000</v>
      </c>
      <c r="H14" s="4">
        <v>10000</v>
      </c>
      <c r="I14" s="4">
        <v>10000</v>
      </c>
      <c r="J14" s="4">
        <v>20000</v>
      </c>
      <c r="K14" s="4">
        <v>20000</v>
      </c>
      <c r="L14" s="4">
        <v>20000</v>
      </c>
      <c r="M14" s="4">
        <v>20000</v>
      </c>
      <c r="N14" s="4">
        <v>20000</v>
      </c>
      <c r="O14" s="4">
        <v>20000</v>
      </c>
      <c r="P14" s="12">
        <f t="shared" si="0"/>
        <v>120000</v>
      </c>
    </row>
    <row r="15" spans="1:16" s="6" customFormat="1" ht="18.75" customHeight="1" x14ac:dyDescent="0.2">
      <c r="A15" s="8">
        <v>12</v>
      </c>
      <c r="B15" s="80" t="s">
        <v>17</v>
      </c>
      <c r="C15" s="9" t="s">
        <v>61</v>
      </c>
      <c r="D15" s="4">
        <v>10000</v>
      </c>
      <c r="E15" s="4">
        <v>10000</v>
      </c>
      <c r="F15" s="4">
        <v>10000</v>
      </c>
      <c r="G15" s="4">
        <v>10000</v>
      </c>
      <c r="H15" s="4">
        <v>10000</v>
      </c>
      <c r="I15" s="4">
        <v>10000</v>
      </c>
      <c r="J15" s="4">
        <v>20000</v>
      </c>
      <c r="K15" s="4">
        <v>20000</v>
      </c>
      <c r="L15" s="4">
        <v>20000</v>
      </c>
      <c r="M15" s="4">
        <v>20000</v>
      </c>
      <c r="N15" s="4">
        <v>20000</v>
      </c>
      <c r="O15" s="4">
        <v>20000</v>
      </c>
      <c r="P15" s="12">
        <f t="shared" si="0"/>
        <v>120000</v>
      </c>
    </row>
    <row r="16" spans="1:16" s="6" customFormat="1" ht="18.75" customHeight="1" x14ac:dyDescent="0.2">
      <c r="A16" s="8">
        <v>13</v>
      </c>
      <c r="B16" s="80" t="s">
        <v>18</v>
      </c>
      <c r="C16" s="9" t="s">
        <v>61</v>
      </c>
      <c r="D16" s="4">
        <v>10000</v>
      </c>
      <c r="E16" s="4">
        <v>10000</v>
      </c>
      <c r="F16" s="4">
        <v>10000</v>
      </c>
      <c r="G16" s="4">
        <v>10000</v>
      </c>
      <c r="H16" s="4">
        <v>10000</v>
      </c>
      <c r="I16" s="4">
        <v>10000</v>
      </c>
      <c r="J16" s="4">
        <v>20000</v>
      </c>
      <c r="K16" s="4">
        <v>20000</v>
      </c>
      <c r="L16" s="4">
        <v>20000</v>
      </c>
      <c r="M16" s="4">
        <v>20000</v>
      </c>
      <c r="N16" s="4">
        <v>20000</v>
      </c>
      <c r="O16" s="4">
        <v>20000</v>
      </c>
      <c r="P16" s="12">
        <f t="shared" si="0"/>
        <v>120000</v>
      </c>
    </row>
    <row r="17" spans="1:16" s="6" customFormat="1" ht="18.75" customHeight="1" x14ac:dyDescent="0.2">
      <c r="A17" s="8">
        <v>14</v>
      </c>
      <c r="B17" s="80" t="s">
        <v>19</v>
      </c>
      <c r="C17" s="9" t="s">
        <v>61</v>
      </c>
      <c r="D17" s="4">
        <v>10000</v>
      </c>
      <c r="E17" s="4">
        <v>10000</v>
      </c>
      <c r="F17" s="4">
        <v>10000</v>
      </c>
      <c r="G17" s="4">
        <v>10000</v>
      </c>
      <c r="H17" s="4">
        <v>10000</v>
      </c>
      <c r="I17" s="4">
        <v>10000</v>
      </c>
      <c r="J17" s="4">
        <v>20000</v>
      </c>
      <c r="K17" s="4">
        <v>20000</v>
      </c>
      <c r="L17" s="4">
        <v>20000</v>
      </c>
      <c r="M17" s="4">
        <v>20000</v>
      </c>
      <c r="N17" s="4">
        <v>20000</v>
      </c>
      <c r="O17" s="4">
        <v>20000</v>
      </c>
      <c r="P17" s="12">
        <f t="shared" si="0"/>
        <v>120000</v>
      </c>
    </row>
    <row r="18" spans="1:16" s="6" customFormat="1" ht="18.75" customHeight="1" x14ac:dyDescent="0.2">
      <c r="A18" s="8">
        <v>15</v>
      </c>
      <c r="B18" s="80" t="s">
        <v>20</v>
      </c>
      <c r="C18" s="9"/>
      <c r="D18" s="4">
        <v>10000</v>
      </c>
      <c r="E18" s="4">
        <v>10000</v>
      </c>
      <c r="F18" s="4">
        <v>10000</v>
      </c>
      <c r="G18" s="4">
        <v>10000</v>
      </c>
      <c r="H18" s="4">
        <v>10000</v>
      </c>
      <c r="I18" s="4">
        <v>10000</v>
      </c>
      <c r="J18" s="4">
        <v>20000</v>
      </c>
      <c r="K18" s="4">
        <v>20000</v>
      </c>
      <c r="L18" s="4">
        <v>20000</v>
      </c>
      <c r="M18" s="4">
        <v>20000</v>
      </c>
      <c r="N18" s="4">
        <v>20000</v>
      </c>
      <c r="O18" s="4">
        <v>20000</v>
      </c>
      <c r="P18" s="12">
        <f t="shared" si="0"/>
        <v>120000</v>
      </c>
    </row>
    <row r="19" spans="1:16" s="6" customFormat="1" ht="18.75" customHeight="1" x14ac:dyDescent="0.2">
      <c r="A19" s="8">
        <v>16</v>
      </c>
      <c r="B19" s="80" t="s">
        <v>21</v>
      </c>
      <c r="C19" s="9" t="s">
        <v>61</v>
      </c>
      <c r="D19" s="4">
        <v>10000</v>
      </c>
      <c r="E19" s="4">
        <v>10000</v>
      </c>
      <c r="F19" s="4">
        <v>10000</v>
      </c>
      <c r="G19" s="4">
        <v>10000</v>
      </c>
      <c r="H19" s="4">
        <v>10000</v>
      </c>
      <c r="I19" s="4">
        <v>10000</v>
      </c>
      <c r="J19" s="4">
        <v>20000</v>
      </c>
      <c r="K19" s="4">
        <v>20000</v>
      </c>
      <c r="L19" s="4">
        <v>20000</v>
      </c>
      <c r="M19" s="4">
        <v>20000</v>
      </c>
      <c r="N19" s="4">
        <v>20000</v>
      </c>
      <c r="O19" s="4">
        <v>20000</v>
      </c>
      <c r="P19" s="12">
        <f t="shared" si="0"/>
        <v>120000</v>
      </c>
    </row>
    <row r="20" spans="1:16" s="6" customFormat="1" ht="18.75" customHeight="1" x14ac:dyDescent="0.2">
      <c r="A20" s="8">
        <v>17</v>
      </c>
      <c r="B20" s="80" t="s">
        <v>22</v>
      </c>
      <c r="C20" s="9" t="s">
        <v>61</v>
      </c>
      <c r="D20" s="4">
        <v>10000</v>
      </c>
      <c r="E20" s="4">
        <v>10000</v>
      </c>
      <c r="F20" s="4">
        <v>10000</v>
      </c>
      <c r="G20" s="4">
        <v>10000</v>
      </c>
      <c r="H20" s="4">
        <v>10000</v>
      </c>
      <c r="I20" s="4">
        <v>10000</v>
      </c>
      <c r="J20" s="69"/>
      <c r="K20" s="69"/>
      <c r="L20" s="69"/>
      <c r="M20" s="69"/>
      <c r="N20" s="69"/>
      <c r="O20" s="69"/>
      <c r="P20" s="12">
        <f t="shared" si="0"/>
        <v>0</v>
      </c>
    </row>
    <row r="21" spans="1:16" s="6" customFormat="1" ht="18.75" customHeight="1" x14ac:dyDescent="0.2">
      <c r="A21" s="8">
        <v>18</v>
      </c>
      <c r="B21" s="81" t="s">
        <v>38</v>
      </c>
      <c r="C21" s="13" t="s">
        <v>61</v>
      </c>
      <c r="D21" s="4">
        <v>10000</v>
      </c>
      <c r="E21" s="4">
        <v>10000</v>
      </c>
      <c r="F21" s="4">
        <v>10000</v>
      </c>
      <c r="G21" s="4">
        <v>10000</v>
      </c>
      <c r="H21" s="4">
        <v>10000</v>
      </c>
      <c r="I21" s="4">
        <v>10000</v>
      </c>
      <c r="J21" s="4">
        <v>20000</v>
      </c>
      <c r="K21" s="4">
        <v>20000</v>
      </c>
      <c r="L21" s="4">
        <v>20000</v>
      </c>
      <c r="M21" s="4">
        <v>20000</v>
      </c>
      <c r="N21" s="4">
        <v>20000</v>
      </c>
      <c r="O21" s="4">
        <v>20000</v>
      </c>
      <c r="P21" s="12">
        <f t="shared" si="0"/>
        <v>120000</v>
      </c>
    </row>
    <row r="22" spans="1:16" s="6" customFormat="1" ht="18.75" customHeight="1" x14ac:dyDescent="0.2">
      <c r="A22" s="8">
        <v>19</v>
      </c>
      <c r="B22" s="81" t="s">
        <v>40</v>
      </c>
      <c r="C22" s="13"/>
      <c r="D22" s="4">
        <v>10000</v>
      </c>
      <c r="E22" s="4">
        <v>10000</v>
      </c>
      <c r="F22" s="4">
        <v>10000</v>
      </c>
      <c r="G22" s="4">
        <v>10000</v>
      </c>
      <c r="H22" s="4">
        <v>10000</v>
      </c>
      <c r="I22" s="4">
        <v>10000</v>
      </c>
      <c r="J22" s="4">
        <v>20000</v>
      </c>
      <c r="K22" s="4">
        <v>20000</v>
      </c>
      <c r="L22" s="4">
        <v>20000</v>
      </c>
      <c r="M22" s="4">
        <v>20000</v>
      </c>
      <c r="N22" s="4">
        <v>20000</v>
      </c>
      <c r="O22" s="4">
        <v>20000</v>
      </c>
      <c r="P22" s="12">
        <f t="shared" si="0"/>
        <v>120000</v>
      </c>
    </row>
    <row r="23" spans="1:16" s="6" customFormat="1" ht="18.75" customHeight="1" x14ac:dyDescent="0.2">
      <c r="A23" s="8">
        <v>20</v>
      </c>
      <c r="B23" s="81" t="s">
        <v>53</v>
      </c>
      <c r="C23" s="13" t="s">
        <v>61</v>
      </c>
      <c r="D23" s="4">
        <v>10000</v>
      </c>
      <c r="E23" s="4">
        <v>10000</v>
      </c>
      <c r="F23" s="4">
        <v>10000</v>
      </c>
      <c r="G23" s="4">
        <v>10000</v>
      </c>
      <c r="H23" s="4">
        <v>10000</v>
      </c>
      <c r="I23" s="4">
        <v>10000</v>
      </c>
      <c r="J23" s="4">
        <v>20000</v>
      </c>
      <c r="K23" s="4">
        <v>20000</v>
      </c>
      <c r="L23" s="4">
        <v>20000</v>
      </c>
      <c r="M23" s="4">
        <v>20000</v>
      </c>
      <c r="N23" s="4">
        <v>20000</v>
      </c>
      <c r="O23" s="4">
        <v>20000</v>
      </c>
      <c r="P23" s="12">
        <f t="shared" si="0"/>
        <v>120000</v>
      </c>
    </row>
    <row r="24" spans="1:16" s="6" customFormat="1" ht="18.75" customHeight="1" x14ac:dyDescent="0.2">
      <c r="A24" s="8">
        <v>21</v>
      </c>
      <c r="B24" s="81" t="s">
        <v>54</v>
      </c>
      <c r="C24" s="13" t="s">
        <v>61</v>
      </c>
      <c r="D24" s="67"/>
      <c r="E24" s="67"/>
      <c r="F24" s="67"/>
      <c r="G24" s="67"/>
      <c r="H24" s="67"/>
      <c r="I24" s="67"/>
      <c r="J24" s="68"/>
      <c r="K24" s="68"/>
      <c r="L24" s="68"/>
      <c r="M24" s="68"/>
      <c r="N24" s="4">
        <v>20000</v>
      </c>
      <c r="O24" s="4">
        <v>20000</v>
      </c>
      <c r="P24" s="12">
        <f t="shared" si="0"/>
        <v>40000</v>
      </c>
    </row>
    <row r="25" spans="1:16" s="6" customFormat="1" ht="18.75" customHeight="1" x14ac:dyDescent="0.2">
      <c r="A25" s="8">
        <v>22</v>
      </c>
      <c r="B25" s="81" t="s">
        <v>56</v>
      </c>
      <c r="C25" s="13" t="s">
        <v>61</v>
      </c>
      <c r="D25" s="5"/>
      <c r="E25" s="5"/>
      <c r="F25" s="5"/>
      <c r="G25" s="5"/>
      <c r="H25" s="5"/>
      <c r="I25" s="5"/>
      <c r="J25" s="4">
        <v>20000</v>
      </c>
      <c r="K25" s="4">
        <v>20000</v>
      </c>
      <c r="L25" s="4">
        <v>20000</v>
      </c>
      <c r="M25" s="4">
        <v>20000</v>
      </c>
      <c r="N25" s="4">
        <v>20000</v>
      </c>
      <c r="O25" s="4">
        <v>20000</v>
      </c>
      <c r="P25" s="12">
        <f t="shared" si="0"/>
        <v>120000</v>
      </c>
    </row>
    <row r="26" spans="1:16" ht="14.1" customHeight="1" x14ac:dyDescent="0.2">
      <c r="B26" s="1" t="s">
        <v>59</v>
      </c>
    </row>
    <row r="30" spans="1:16" x14ac:dyDescent="0.2">
      <c r="F30" s="1">
        <f>F28*F29</f>
        <v>0</v>
      </c>
    </row>
  </sheetData>
  <mergeCells count="1">
    <mergeCell ref="D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2B1C-7FE8-D543-B135-E63D34C269BE}">
  <dimension ref="A1:T37"/>
  <sheetViews>
    <sheetView zoomScale="70" zoomScaleNormal="70" workbookViewId="0">
      <selection activeCell="G46" sqref="G46"/>
    </sheetView>
  </sheetViews>
  <sheetFormatPr baseColWidth="10" defaultColWidth="12" defaultRowHeight="12.75" x14ac:dyDescent="0.2"/>
  <cols>
    <col min="1" max="1" width="6.33203125" style="1" customWidth="1"/>
    <col min="2" max="2" width="69.83203125" style="1" customWidth="1"/>
    <col min="3" max="3" width="9.33203125" style="1" customWidth="1"/>
    <col min="4" max="4" width="20.6640625" style="7" hidden="1" customWidth="1"/>
    <col min="5" max="5" width="12" style="7" bestFit="1" customWidth="1"/>
    <col min="6" max="6" width="11" style="1" customWidth="1"/>
    <col min="7" max="7" width="12.1640625" style="1" customWidth="1"/>
    <col min="8" max="10" width="12" style="1"/>
    <col min="11" max="11" width="12.1640625" style="1" customWidth="1"/>
    <col min="12" max="17" width="12" style="3"/>
    <col min="18" max="18" width="10.6640625" style="3" hidden="1" customWidth="1"/>
    <col min="19" max="19" width="12.33203125" style="3" hidden="1" customWidth="1"/>
    <col min="20" max="20" width="12.5" style="3" bestFit="1" customWidth="1"/>
    <col min="21" max="21" width="15" style="3" customWidth="1"/>
    <col min="22" max="16384" width="12" style="3"/>
  </cols>
  <sheetData>
    <row r="1" spans="1:20" ht="20.100000000000001" customHeight="1" x14ac:dyDescent="0.2">
      <c r="A1" s="19"/>
      <c r="B1" s="19"/>
      <c r="C1" s="19"/>
      <c r="D1" s="20"/>
      <c r="E1" s="82"/>
      <c r="F1" s="112" t="s">
        <v>62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74"/>
      <c r="S1" s="74"/>
      <c r="T1" s="71"/>
    </row>
    <row r="2" spans="1:20" s="2" customFormat="1" ht="25.5" x14ac:dyDescent="0.2">
      <c r="A2" s="21"/>
      <c r="B2" s="22" t="s">
        <v>0</v>
      </c>
      <c r="C2" s="22"/>
      <c r="D2" s="22" t="s">
        <v>36</v>
      </c>
      <c r="E2" s="88" t="s">
        <v>60</v>
      </c>
      <c r="F2" s="72" t="s">
        <v>26</v>
      </c>
      <c r="G2" s="72" t="s">
        <v>43</v>
      </c>
      <c r="H2" s="72" t="s">
        <v>27</v>
      </c>
      <c r="I2" s="72" t="s">
        <v>28</v>
      </c>
      <c r="J2" s="72" t="s">
        <v>29</v>
      </c>
      <c r="K2" s="72" t="s">
        <v>30</v>
      </c>
      <c r="L2" s="72" t="s">
        <v>1</v>
      </c>
      <c r="M2" s="72" t="s">
        <v>31</v>
      </c>
      <c r="N2" s="72" t="s">
        <v>32</v>
      </c>
      <c r="O2" s="72" t="s">
        <v>33</v>
      </c>
      <c r="P2" s="72" t="s">
        <v>34</v>
      </c>
      <c r="Q2" s="72" t="s">
        <v>35</v>
      </c>
      <c r="R2" s="72" t="s">
        <v>57</v>
      </c>
      <c r="S2" s="72" t="s">
        <v>58</v>
      </c>
      <c r="T2" s="73" t="s">
        <v>55</v>
      </c>
    </row>
    <row r="3" spans="1:20" s="6" customFormat="1" ht="18.75" customHeight="1" x14ac:dyDescent="0.2">
      <c r="A3" s="8">
        <v>1</v>
      </c>
      <c r="B3" s="9" t="s">
        <v>3</v>
      </c>
      <c r="C3" s="9"/>
      <c r="D3" s="10">
        <v>45461</v>
      </c>
      <c r="E3" s="89">
        <v>46000</v>
      </c>
      <c r="F3" s="90">
        <v>20000</v>
      </c>
      <c r="G3" s="90">
        <v>20000</v>
      </c>
      <c r="H3" s="90">
        <v>20000</v>
      </c>
      <c r="I3" s="90">
        <v>20000</v>
      </c>
      <c r="J3" s="90">
        <v>20000</v>
      </c>
      <c r="K3" s="90">
        <v>20000</v>
      </c>
      <c r="L3" s="90">
        <v>20000</v>
      </c>
      <c r="M3" s="90">
        <v>20000</v>
      </c>
      <c r="N3" s="90">
        <v>20000</v>
      </c>
      <c r="O3" s="90">
        <v>20000</v>
      </c>
      <c r="P3" s="83"/>
      <c r="Q3" s="83"/>
      <c r="R3" s="70"/>
      <c r="S3" s="70"/>
      <c r="T3" s="91">
        <f t="shared" ref="T3:T16" si="0">F3+G3+H3+I3+J3+K3+L3+M3+N3+O3+P3+Q3</f>
        <v>200000</v>
      </c>
    </row>
    <row r="4" spans="1:20" s="6" customFormat="1" ht="18.75" customHeight="1" x14ac:dyDescent="0.2">
      <c r="A4" s="8">
        <v>2</v>
      </c>
      <c r="B4" s="77" t="s">
        <v>6</v>
      </c>
      <c r="C4" s="9"/>
      <c r="D4" s="10">
        <v>45360</v>
      </c>
      <c r="E4" s="89">
        <v>46000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75">
        <v>15000</v>
      </c>
      <c r="S4" s="69"/>
      <c r="T4" s="12">
        <f t="shared" si="0"/>
        <v>0</v>
      </c>
    </row>
    <row r="5" spans="1:20" s="6" customFormat="1" ht="18.75" customHeight="1" x14ac:dyDescent="0.2">
      <c r="A5" s="8">
        <v>3</v>
      </c>
      <c r="B5" s="77" t="s">
        <v>7</v>
      </c>
      <c r="C5" s="9"/>
      <c r="D5" s="10"/>
      <c r="E5" s="89">
        <v>46000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69"/>
      <c r="S5" s="69"/>
      <c r="T5" s="12">
        <f t="shared" si="0"/>
        <v>0</v>
      </c>
    </row>
    <row r="6" spans="1:20" s="6" customFormat="1" ht="18.75" customHeight="1" x14ac:dyDescent="0.2">
      <c r="A6" s="8">
        <v>4</v>
      </c>
      <c r="B6" s="77" t="s">
        <v>63</v>
      </c>
      <c r="C6" s="9"/>
      <c r="D6" s="10">
        <v>45461</v>
      </c>
      <c r="E6" s="92">
        <v>92000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0"/>
      <c r="S6" s="70"/>
      <c r="T6" s="12">
        <f t="shared" si="0"/>
        <v>0</v>
      </c>
    </row>
    <row r="7" spans="1:20" s="6" customFormat="1" ht="18.75" customHeight="1" x14ac:dyDescent="0.2">
      <c r="A7" s="8">
        <v>5</v>
      </c>
      <c r="B7" s="77" t="s">
        <v>10</v>
      </c>
      <c r="C7" s="9"/>
      <c r="D7" s="10">
        <v>45461</v>
      </c>
      <c r="E7" s="89">
        <v>92000</v>
      </c>
      <c r="F7" s="90">
        <v>20000</v>
      </c>
      <c r="G7" s="90">
        <v>20000</v>
      </c>
      <c r="H7" s="90">
        <v>20000</v>
      </c>
      <c r="I7" s="83"/>
      <c r="J7" s="83"/>
      <c r="K7" s="83"/>
      <c r="L7" s="83"/>
      <c r="M7" s="83"/>
      <c r="N7" s="83"/>
      <c r="O7" s="83"/>
      <c r="P7" s="83"/>
      <c r="Q7" s="83"/>
      <c r="R7" s="75">
        <v>15000</v>
      </c>
      <c r="S7" s="75">
        <v>30000</v>
      </c>
      <c r="T7" s="12">
        <f t="shared" si="0"/>
        <v>60000</v>
      </c>
    </row>
    <row r="8" spans="1:20" s="6" customFormat="1" ht="18.75" customHeight="1" x14ac:dyDescent="0.2">
      <c r="A8" s="8">
        <v>6</v>
      </c>
      <c r="B8" s="77" t="s">
        <v>11</v>
      </c>
      <c r="C8" s="9"/>
      <c r="D8" s="10">
        <v>45412</v>
      </c>
      <c r="E8" s="89">
        <v>46000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75">
        <v>15000</v>
      </c>
      <c r="S8" s="69"/>
      <c r="T8" s="12">
        <f t="shared" si="0"/>
        <v>0</v>
      </c>
    </row>
    <row r="9" spans="1:20" s="6" customFormat="1" ht="18.75" customHeight="1" x14ac:dyDescent="0.2">
      <c r="A9" s="8">
        <v>7</v>
      </c>
      <c r="B9" s="77" t="s">
        <v>12</v>
      </c>
      <c r="C9" s="9"/>
      <c r="D9" s="10">
        <v>45403</v>
      </c>
      <c r="E9" s="89">
        <v>46000</v>
      </c>
      <c r="F9" s="90">
        <v>20000</v>
      </c>
      <c r="G9" s="90">
        <v>20000</v>
      </c>
      <c r="H9" s="90">
        <v>20000</v>
      </c>
      <c r="I9" s="90">
        <v>20000</v>
      </c>
      <c r="J9" s="90">
        <v>20000</v>
      </c>
      <c r="K9" s="90">
        <v>20000</v>
      </c>
      <c r="L9" s="90">
        <v>20000</v>
      </c>
      <c r="M9" s="90">
        <v>20000</v>
      </c>
      <c r="N9" s="90">
        <v>20000</v>
      </c>
      <c r="O9" s="90">
        <v>20000</v>
      </c>
      <c r="P9" s="90">
        <v>20000</v>
      </c>
      <c r="Q9" s="90">
        <v>20000</v>
      </c>
      <c r="R9" s="90"/>
      <c r="S9" s="90"/>
      <c r="T9" s="91">
        <f t="shared" si="0"/>
        <v>240000</v>
      </c>
    </row>
    <row r="10" spans="1:20" s="6" customFormat="1" ht="18.75" customHeight="1" x14ac:dyDescent="0.2">
      <c r="A10" s="8">
        <v>8</v>
      </c>
      <c r="B10" s="77" t="s">
        <v>14</v>
      </c>
      <c r="C10" s="9"/>
      <c r="D10" s="10"/>
      <c r="E10" s="89">
        <v>92000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69"/>
      <c r="S10" s="69"/>
      <c r="T10" s="12">
        <f t="shared" si="0"/>
        <v>0</v>
      </c>
    </row>
    <row r="11" spans="1:20" s="6" customFormat="1" ht="18.75" customHeight="1" x14ac:dyDescent="0.2">
      <c r="A11" s="8">
        <v>9</v>
      </c>
      <c r="B11" s="77" t="s">
        <v>15</v>
      </c>
      <c r="C11" s="9"/>
      <c r="D11" s="10">
        <v>45404</v>
      </c>
      <c r="E11" s="89">
        <v>46000</v>
      </c>
      <c r="F11" s="90">
        <v>20000</v>
      </c>
      <c r="G11" s="90">
        <v>20000</v>
      </c>
      <c r="H11" s="90">
        <v>20000</v>
      </c>
      <c r="I11" s="90">
        <v>20000</v>
      </c>
      <c r="J11" s="90">
        <v>20000</v>
      </c>
      <c r="K11" s="90">
        <v>20000</v>
      </c>
      <c r="L11" s="83"/>
      <c r="M11" s="83"/>
      <c r="N11" s="83"/>
      <c r="O11" s="83"/>
      <c r="P11" s="83"/>
      <c r="Q11" s="83"/>
      <c r="R11" s="75">
        <v>45000</v>
      </c>
      <c r="S11" s="69"/>
      <c r="T11" s="12">
        <f t="shared" si="0"/>
        <v>120000</v>
      </c>
    </row>
    <row r="12" spans="1:20" s="6" customFormat="1" ht="18.75" customHeight="1" x14ac:dyDescent="0.2">
      <c r="A12" s="8">
        <v>10</v>
      </c>
      <c r="B12" s="77" t="s">
        <v>16</v>
      </c>
      <c r="C12" s="9"/>
      <c r="D12" s="10"/>
      <c r="E12" s="89">
        <v>46000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69"/>
      <c r="S12" s="69"/>
      <c r="T12" s="12">
        <f t="shared" si="0"/>
        <v>0</v>
      </c>
    </row>
    <row r="13" spans="1:20" s="6" customFormat="1" ht="18.75" customHeight="1" x14ac:dyDescent="0.2">
      <c r="A13" s="8">
        <v>11</v>
      </c>
      <c r="B13" s="77" t="s">
        <v>17</v>
      </c>
      <c r="C13" s="9"/>
      <c r="D13" s="10">
        <v>45403</v>
      </c>
      <c r="E13" s="89">
        <v>92000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5">
        <v>15000</v>
      </c>
      <c r="S13" s="69"/>
      <c r="T13" s="12">
        <f t="shared" si="0"/>
        <v>0</v>
      </c>
    </row>
    <row r="14" spans="1:20" s="6" customFormat="1" ht="18.75" customHeight="1" x14ac:dyDescent="0.2">
      <c r="A14" s="8">
        <v>12</v>
      </c>
      <c r="B14" s="77" t="s">
        <v>18</v>
      </c>
      <c r="C14" s="9"/>
      <c r="D14" s="10">
        <v>45461</v>
      </c>
      <c r="E14" s="89">
        <v>45000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5">
        <v>15000</v>
      </c>
      <c r="S14" s="70"/>
      <c r="T14" s="12">
        <f t="shared" si="0"/>
        <v>0</v>
      </c>
    </row>
    <row r="15" spans="1:20" s="6" customFormat="1" ht="18.75" customHeight="1" x14ac:dyDescent="0.2">
      <c r="A15" s="8">
        <v>13</v>
      </c>
      <c r="B15" s="77" t="s">
        <v>19</v>
      </c>
      <c r="C15" s="9"/>
      <c r="D15" s="10"/>
      <c r="E15" s="89">
        <v>92000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76">
        <v>30000</v>
      </c>
      <c r="S15" s="69"/>
      <c r="T15" s="12">
        <f t="shared" si="0"/>
        <v>0</v>
      </c>
    </row>
    <row r="16" spans="1:20" s="6" customFormat="1" ht="18.75" customHeight="1" x14ac:dyDescent="0.2">
      <c r="A16" s="8">
        <v>14</v>
      </c>
      <c r="B16" s="77" t="s">
        <v>20</v>
      </c>
      <c r="C16" s="9"/>
      <c r="D16" s="10">
        <v>45404</v>
      </c>
      <c r="E16" s="89">
        <v>46000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69"/>
      <c r="S16" s="69"/>
      <c r="T16" s="12">
        <f t="shared" si="0"/>
        <v>0</v>
      </c>
    </row>
    <row r="17" spans="1:20" s="6" customFormat="1" ht="18.75" customHeight="1" x14ac:dyDescent="0.2">
      <c r="A17" s="8">
        <v>15</v>
      </c>
      <c r="B17" s="77" t="s">
        <v>21</v>
      </c>
      <c r="C17" s="9"/>
      <c r="D17" s="10">
        <v>45325</v>
      </c>
      <c r="E17" s="89">
        <v>46000</v>
      </c>
      <c r="F17" s="90">
        <v>20000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69"/>
      <c r="S17" s="69"/>
      <c r="T17" s="12">
        <f t="shared" ref="T17:T20" si="1">F17+G17+H17+I17+J17+K17+L17+M17+N17+O17+P17+Q17</f>
        <v>20000</v>
      </c>
    </row>
    <row r="18" spans="1:20" s="6" customFormat="1" ht="18.75" customHeight="1" x14ac:dyDescent="0.2">
      <c r="A18" s="8">
        <v>16</v>
      </c>
      <c r="B18" s="77" t="s">
        <v>22</v>
      </c>
      <c r="C18" s="9"/>
      <c r="D18" s="10"/>
      <c r="E18" s="89">
        <v>46000</v>
      </c>
      <c r="F18" s="83"/>
      <c r="G18" s="83"/>
      <c r="H18" s="83"/>
      <c r="I18" s="83"/>
      <c r="J18" s="83"/>
      <c r="K18" s="83"/>
      <c r="L18" s="84"/>
      <c r="M18" s="84"/>
      <c r="N18" s="84"/>
      <c r="O18" s="84"/>
      <c r="P18" s="84"/>
      <c r="Q18" s="84"/>
      <c r="R18" s="69"/>
      <c r="S18" s="69"/>
      <c r="T18" s="12">
        <f t="shared" si="1"/>
        <v>0</v>
      </c>
    </row>
    <row r="19" spans="1:20" s="6" customFormat="1" ht="18.75" customHeight="1" x14ac:dyDescent="0.2">
      <c r="A19" s="8">
        <v>17</v>
      </c>
      <c r="B19" s="78" t="s">
        <v>38</v>
      </c>
      <c r="C19" s="13"/>
      <c r="D19" s="14">
        <v>45403</v>
      </c>
      <c r="E19" s="89">
        <v>46000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76">
        <v>30000</v>
      </c>
      <c r="S19" s="69"/>
      <c r="T19" s="12">
        <f t="shared" si="1"/>
        <v>0</v>
      </c>
    </row>
    <row r="20" spans="1:20" s="6" customFormat="1" ht="18.75" customHeight="1" x14ac:dyDescent="0.2">
      <c r="A20" s="8">
        <v>18</v>
      </c>
      <c r="B20" s="78" t="s">
        <v>40</v>
      </c>
      <c r="C20" s="13"/>
      <c r="D20" s="14"/>
      <c r="E20" s="89">
        <v>46000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70"/>
      <c r="S20" s="70"/>
      <c r="T20" s="12">
        <f t="shared" si="1"/>
        <v>0</v>
      </c>
    </row>
    <row r="21" spans="1:20" s="6" customFormat="1" ht="18.75" customHeight="1" x14ac:dyDescent="0.2">
      <c r="A21" s="8">
        <v>19</v>
      </c>
      <c r="B21" s="78" t="s">
        <v>64</v>
      </c>
      <c r="C21" s="13"/>
      <c r="D21" s="14">
        <v>210000</v>
      </c>
      <c r="E21" s="89">
        <v>46000</v>
      </c>
      <c r="F21" s="90">
        <v>20000</v>
      </c>
      <c r="G21" s="90">
        <v>20000</v>
      </c>
      <c r="H21" s="90">
        <v>20000</v>
      </c>
      <c r="I21" s="90">
        <v>20000</v>
      </c>
      <c r="J21" s="90">
        <v>20000</v>
      </c>
      <c r="K21" s="90">
        <v>20000</v>
      </c>
      <c r="R21" s="90">
        <v>45000</v>
      </c>
      <c r="S21" s="90">
        <v>90000</v>
      </c>
      <c r="T21" s="91">
        <f>SUM(F21:Q21)</f>
        <v>120000</v>
      </c>
    </row>
    <row r="22" spans="1:20" s="6" customFormat="1" ht="18.75" customHeight="1" x14ac:dyDescent="0.2">
      <c r="A22" s="8">
        <v>20</v>
      </c>
      <c r="B22" s="78" t="s">
        <v>54</v>
      </c>
      <c r="C22" s="13"/>
      <c r="D22" s="15"/>
      <c r="E22" s="89">
        <v>46000</v>
      </c>
      <c r="F22" s="90">
        <v>20000</v>
      </c>
      <c r="G22" s="90">
        <v>20000</v>
      </c>
      <c r="H22" s="83"/>
      <c r="I22" s="83"/>
      <c r="J22" s="83"/>
      <c r="K22" s="83"/>
      <c r="L22" s="84"/>
      <c r="M22" s="84"/>
      <c r="N22" s="84"/>
      <c r="O22" s="84"/>
      <c r="P22" s="83"/>
      <c r="Q22" s="83"/>
      <c r="R22" s="75">
        <v>15000</v>
      </c>
      <c r="S22" s="75">
        <v>30000</v>
      </c>
      <c r="T22" s="12">
        <f t="shared" ref="T22:T23" si="2">F22+G22+H22+I22+J22+K22+L22+M22+N22+O22+P22+Q22</f>
        <v>40000</v>
      </c>
    </row>
    <row r="23" spans="1:20" s="6" customFormat="1" ht="18.75" customHeight="1" x14ac:dyDescent="0.2">
      <c r="A23" s="8">
        <v>21</v>
      </c>
      <c r="B23" s="78" t="s">
        <v>56</v>
      </c>
      <c r="C23" s="13"/>
      <c r="D23" s="15"/>
      <c r="E23" s="89">
        <v>46000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70"/>
      <c r="S23" s="70"/>
      <c r="T23" s="12">
        <f t="shared" si="2"/>
        <v>0</v>
      </c>
    </row>
    <row r="24" spans="1:20" ht="17.100000000000001" customHeight="1" x14ac:dyDescent="0.2">
      <c r="A24" s="87">
        <v>22</v>
      </c>
      <c r="B24" s="11" t="s">
        <v>69</v>
      </c>
      <c r="C24" s="16"/>
      <c r="D24" s="85"/>
      <c r="E24" s="96">
        <v>0</v>
      </c>
      <c r="F24" s="16"/>
      <c r="G24" s="16"/>
      <c r="H24" s="16"/>
      <c r="I24" s="16"/>
      <c r="J24" s="16"/>
      <c r="K24" s="16"/>
      <c r="L24" s="86"/>
      <c r="M24" s="86"/>
      <c r="N24" s="86"/>
      <c r="O24" s="86"/>
      <c r="P24" s="86"/>
      <c r="Q24" s="86"/>
      <c r="R24" s="75">
        <v>15000</v>
      </c>
      <c r="S24" s="86"/>
      <c r="T24" s="86"/>
    </row>
    <row r="25" spans="1:20" x14ac:dyDescent="0.2">
      <c r="A25" s="8">
        <v>23</v>
      </c>
      <c r="B25" s="16" t="s">
        <v>68</v>
      </c>
      <c r="C25" s="16"/>
      <c r="D25" s="85"/>
      <c r="E25" s="96">
        <v>46000</v>
      </c>
      <c r="F25" s="16"/>
      <c r="G25" s="16"/>
      <c r="H25" s="16"/>
      <c r="I25" s="16"/>
      <c r="J25" s="16"/>
      <c r="K25" s="16"/>
      <c r="L25" s="86"/>
      <c r="M25" s="86"/>
      <c r="N25" s="86"/>
      <c r="O25" s="86"/>
      <c r="P25" s="86"/>
      <c r="Q25" s="86"/>
      <c r="R25" s="94">
        <f>SUM(R4:R24)</f>
        <v>255000</v>
      </c>
      <c r="S25" s="94">
        <f>SUM(S7:S24)</f>
        <v>150000</v>
      </c>
      <c r="T25" s="86"/>
    </row>
    <row r="26" spans="1:20" x14ac:dyDescent="0.2">
      <c r="A26" s="8">
        <v>24</v>
      </c>
      <c r="B26" s="16" t="s">
        <v>66</v>
      </c>
      <c r="C26" s="16"/>
      <c r="D26" s="85"/>
      <c r="E26" s="96">
        <v>72000</v>
      </c>
      <c r="F26" s="90">
        <v>20000</v>
      </c>
      <c r="G26" s="90">
        <v>20000</v>
      </c>
      <c r="H26" s="90">
        <v>20000</v>
      </c>
      <c r="I26" s="90">
        <v>20000</v>
      </c>
      <c r="J26" s="90">
        <v>20000</v>
      </c>
      <c r="K26" s="90">
        <v>20000</v>
      </c>
      <c r="L26" s="86"/>
      <c r="M26" s="86"/>
      <c r="N26" s="86"/>
      <c r="O26" s="86"/>
      <c r="P26" s="86"/>
      <c r="Q26" s="86"/>
      <c r="R26" s="86"/>
      <c r="S26" s="86"/>
      <c r="T26" s="97">
        <f>SUM(F26:Q26)</f>
        <v>120000</v>
      </c>
    </row>
    <row r="27" spans="1:20" x14ac:dyDescent="0.2">
      <c r="A27" s="87">
        <v>25</v>
      </c>
      <c r="B27" s="16" t="s">
        <v>65</v>
      </c>
      <c r="C27" s="16"/>
      <c r="D27" s="85"/>
      <c r="E27" s="96">
        <v>92000</v>
      </c>
      <c r="F27" s="16"/>
      <c r="G27" s="16"/>
      <c r="H27" s="16"/>
      <c r="I27" s="16"/>
      <c r="J27" s="16"/>
      <c r="K27" s="16"/>
      <c r="L27" s="86"/>
      <c r="M27" s="86"/>
      <c r="N27" s="86"/>
      <c r="O27" s="86"/>
      <c r="P27" s="86"/>
      <c r="Q27" s="86"/>
      <c r="R27" s="86"/>
      <c r="S27" s="86"/>
      <c r="T27" s="86"/>
    </row>
    <row r="28" spans="1:20" x14ac:dyDescent="0.2">
      <c r="A28" s="8">
        <v>26</v>
      </c>
      <c r="B28" s="16" t="s">
        <v>67</v>
      </c>
      <c r="C28" s="16"/>
      <c r="D28" s="85"/>
      <c r="E28" s="96">
        <v>46000</v>
      </c>
      <c r="F28" s="16"/>
      <c r="G28" s="16"/>
      <c r="H28" s="16"/>
      <c r="I28" s="16"/>
      <c r="J28" s="16"/>
      <c r="K28" s="95"/>
      <c r="L28" s="86"/>
      <c r="M28" s="86"/>
      <c r="N28" s="86"/>
      <c r="O28" s="86"/>
      <c r="P28" s="86"/>
      <c r="Q28" s="86"/>
      <c r="R28" s="86"/>
      <c r="S28" s="86"/>
      <c r="T28" s="86"/>
    </row>
    <row r="29" spans="1:20" x14ac:dyDescent="0.2">
      <c r="A29" s="8">
        <v>27</v>
      </c>
      <c r="B29" s="16" t="s">
        <v>70</v>
      </c>
      <c r="C29" s="16"/>
      <c r="D29" s="85"/>
      <c r="E29" s="96"/>
      <c r="F29" s="16"/>
      <c r="G29" s="16"/>
      <c r="H29" s="16"/>
      <c r="I29" s="16"/>
      <c r="J29" s="16"/>
      <c r="K29" s="95"/>
      <c r="L29" s="86"/>
      <c r="M29" s="86"/>
      <c r="N29" s="86"/>
      <c r="O29" s="86"/>
      <c r="P29" s="86"/>
      <c r="Q29" s="86"/>
      <c r="R29" s="86"/>
      <c r="S29" s="86"/>
      <c r="T29" s="86"/>
    </row>
    <row r="30" spans="1:20" x14ac:dyDescent="0.2">
      <c r="E30" s="7">
        <f>SUM(E3:E29)</f>
        <v>1451000</v>
      </c>
      <c r="K30" s="93"/>
    </row>
    <row r="37" spans="7:7" x14ac:dyDescent="0.2">
      <c r="G37" s="1">
        <f>16*20000</f>
        <v>320000</v>
      </c>
    </row>
  </sheetData>
  <mergeCells count="1">
    <mergeCell ref="F1:Q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792E-9872-4401-AF25-980F4D9ACB4E}">
  <dimension ref="A1:T50"/>
  <sheetViews>
    <sheetView tabSelected="1" topLeftCell="B1" zoomScale="70" zoomScaleNormal="70" workbookViewId="0">
      <selection activeCell="O37" sqref="O37"/>
    </sheetView>
  </sheetViews>
  <sheetFormatPr baseColWidth="10" defaultColWidth="12" defaultRowHeight="12.75" x14ac:dyDescent="0.2"/>
  <cols>
    <col min="1" max="1" width="6.33203125" style="1" customWidth="1"/>
    <col min="2" max="2" width="86.83203125" style="1" bestFit="1" customWidth="1"/>
    <col min="3" max="3" width="15.6640625" style="1" bestFit="1" customWidth="1"/>
    <col min="4" max="4" width="19" style="7" bestFit="1" customWidth="1"/>
    <col min="5" max="5" width="12" style="7" bestFit="1" customWidth="1"/>
    <col min="6" max="6" width="11" style="1" customWidth="1"/>
    <col min="7" max="7" width="12.1640625" style="1" customWidth="1"/>
    <col min="8" max="10" width="12" style="1"/>
    <col min="11" max="11" width="12.1640625" style="1" customWidth="1"/>
    <col min="12" max="17" width="12" style="3"/>
    <col min="18" max="18" width="10.6640625" style="3" hidden="1" customWidth="1"/>
    <col min="19" max="19" width="12.33203125" style="3" hidden="1" customWidth="1"/>
    <col min="20" max="20" width="12.5" style="3" bestFit="1" customWidth="1"/>
    <col min="21" max="21" width="15" style="3" customWidth="1"/>
    <col min="22" max="16384" width="12" style="3"/>
  </cols>
  <sheetData>
    <row r="1" spans="1:20" ht="20.100000000000001" customHeight="1" x14ac:dyDescent="0.2">
      <c r="A1" s="19"/>
      <c r="B1" s="19"/>
      <c r="C1" s="19"/>
      <c r="D1" s="20"/>
      <c r="E1" s="82"/>
      <c r="F1" s="112" t="s">
        <v>62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74"/>
      <c r="S1" s="74"/>
      <c r="T1" s="71"/>
    </row>
    <row r="2" spans="1:20" s="2" customFormat="1" ht="25.5" x14ac:dyDescent="0.2">
      <c r="A2" s="21"/>
      <c r="B2" s="22" t="s">
        <v>0</v>
      </c>
      <c r="C2" s="22"/>
      <c r="D2" s="22" t="s">
        <v>36</v>
      </c>
      <c r="E2" s="88" t="s">
        <v>60</v>
      </c>
      <c r="F2" s="72" t="s">
        <v>26</v>
      </c>
      <c r="G2" s="72" t="s">
        <v>43</v>
      </c>
      <c r="H2" s="72" t="s">
        <v>27</v>
      </c>
      <c r="I2" s="72" t="s">
        <v>28</v>
      </c>
      <c r="J2" s="72" t="s">
        <v>29</v>
      </c>
      <c r="K2" s="72" t="s">
        <v>30</v>
      </c>
      <c r="L2" s="72" t="s">
        <v>1</v>
      </c>
      <c r="M2" s="72" t="s">
        <v>31</v>
      </c>
      <c r="N2" s="72" t="s">
        <v>32</v>
      </c>
      <c r="O2" s="72" t="s">
        <v>33</v>
      </c>
      <c r="P2" s="72" t="s">
        <v>34</v>
      </c>
      <c r="Q2" s="72" t="s">
        <v>35</v>
      </c>
      <c r="R2" s="72" t="s">
        <v>57</v>
      </c>
      <c r="S2" s="72" t="s">
        <v>58</v>
      </c>
      <c r="T2" s="73" t="s">
        <v>55</v>
      </c>
    </row>
    <row r="3" spans="1:20" s="6" customFormat="1" ht="18" customHeight="1" x14ac:dyDescent="0.2">
      <c r="A3" s="8">
        <v>1</v>
      </c>
      <c r="B3" s="9" t="s">
        <v>3</v>
      </c>
      <c r="C3" s="9"/>
      <c r="D3" s="10">
        <v>45461</v>
      </c>
      <c r="E3" s="89">
        <v>46000</v>
      </c>
      <c r="F3" s="90">
        <v>20000</v>
      </c>
      <c r="G3" s="90">
        <v>20000</v>
      </c>
      <c r="H3" s="90">
        <v>20000</v>
      </c>
      <c r="I3" s="90">
        <v>20000</v>
      </c>
      <c r="J3" s="90">
        <v>20000</v>
      </c>
      <c r="K3" s="90">
        <v>20000</v>
      </c>
      <c r="L3" s="90">
        <v>20000</v>
      </c>
      <c r="M3" s="90">
        <v>20000</v>
      </c>
      <c r="N3" s="90">
        <v>20000</v>
      </c>
      <c r="O3" s="90">
        <v>20000</v>
      </c>
      <c r="P3" s="83"/>
      <c r="Q3" s="83"/>
      <c r="R3" s="70"/>
      <c r="S3" s="70"/>
      <c r="T3" s="91">
        <f t="shared" ref="T3:T18" si="0">F3+G3+H3+I3+J3+K3+L3+M3+N3+O3+P3+Q3</f>
        <v>200000</v>
      </c>
    </row>
    <row r="4" spans="1:20" s="6" customFormat="1" ht="18" customHeight="1" x14ac:dyDescent="0.2">
      <c r="A4" s="8">
        <v>2</v>
      </c>
      <c r="B4" s="9" t="s">
        <v>6</v>
      </c>
      <c r="C4" s="9"/>
      <c r="D4" s="10">
        <v>45360</v>
      </c>
      <c r="E4" s="89">
        <v>46000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75">
        <v>15000</v>
      </c>
      <c r="S4" s="69"/>
      <c r="T4" s="12">
        <f t="shared" si="0"/>
        <v>0</v>
      </c>
    </row>
    <row r="5" spans="1:20" s="6" customFormat="1" ht="18" customHeight="1" x14ac:dyDescent="0.2">
      <c r="A5" s="8">
        <v>3</v>
      </c>
      <c r="B5" s="9" t="s">
        <v>7</v>
      </c>
      <c r="C5" s="9"/>
      <c r="D5" s="10"/>
      <c r="E5" s="89">
        <v>46000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69"/>
      <c r="S5" s="69"/>
      <c r="T5" s="12">
        <f t="shared" si="0"/>
        <v>0</v>
      </c>
    </row>
    <row r="6" spans="1:20" s="6" customFormat="1" ht="18" customHeight="1" x14ac:dyDescent="0.2">
      <c r="A6" s="8">
        <v>4</v>
      </c>
      <c r="B6" s="9" t="s">
        <v>63</v>
      </c>
      <c r="C6" s="9"/>
      <c r="D6" s="10">
        <v>45461</v>
      </c>
      <c r="E6" s="92">
        <v>92000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0"/>
      <c r="S6" s="70"/>
      <c r="T6" s="12">
        <f t="shared" si="0"/>
        <v>0</v>
      </c>
    </row>
    <row r="7" spans="1:20" s="6" customFormat="1" ht="18" customHeight="1" x14ac:dyDescent="0.2">
      <c r="A7" s="8">
        <v>7</v>
      </c>
      <c r="B7" s="9" t="s">
        <v>12</v>
      </c>
      <c r="C7" s="9"/>
      <c r="D7" s="10">
        <v>45403</v>
      </c>
      <c r="E7" s="89">
        <v>46000</v>
      </c>
      <c r="F7" s="90">
        <v>20000</v>
      </c>
      <c r="G7" s="90">
        <v>20000</v>
      </c>
      <c r="H7" s="90">
        <v>20000</v>
      </c>
      <c r="I7" s="90">
        <v>20000</v>
      </c>
      <c r="J7" s="90">
        <v>20000</v>
      </c>
      <c r="K7" s="90">
        <v>20000</v>
      </c>
      <c r="L7" s="90">
        <v>20000</v>
      </c>
      <c r="M7" s="90">
        <v>20000</v>
      </c>
      <c r="N7" s="90">
        <v>20000</v>
      </c>
      <c r="O7" s="90">
        <v>20000</v>
      </c>
      <c r="P7" s="90">
        <v>20000</v>
      </c>
      <c r="Q7" s="90">
        <v>20000</v>
      </c>
      <c r="R7" s="90"/>
      <c r="S7" s="90"/>
      <c r="T7" s="91">
        <f t="shared" si="0"/>
        <v>240000</v>
      </c>
    </row>
    <row r="8" spans="1:20" s="6" customFormat="1" ht="18" customHeight="1" x14ac:dyDescent="0.2">
      <c r="A8" s="8">
        <v>8</v>
      </c>
      <c r="B8" s="9" t="s">
        <v>14</v>
      </c>
      <c r="C8" s="9"/>
      <c r="D8" s="10"/>
      <c r="E8" s="89">
        <v>92000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69"/>
      <c r="S8" s="69"/>
      <c r="T8" s="12">
        <f t="shared" si="0"/>
        <v>0</v>
      </c>
    </row>
    <row r="9" spans="1:20" s="6" customFormat="1" ht="18" customHeight="1" x14ac:dyDescent="0.2">
      <c r="A9" s="8">
        <v>9</v>
      </c>
      <c r="B9" s="9" t="s">
        <v>15</v>
      </c>
      <c r="C9" s="9"/>
      <c r="D9" s="10">
        <v>45404</v>
      </c>
      <c r="E9" s="89">
        <v>46000</v>
      </c>
      <c r="F9" s="90">
        <v>20000</v>
      </c>
      <c r="G9" s="90">
        <v>20000</v>
      </c>
      <c r="H9" s="90">
        <v>20000</v>
      </c>
      <c r="I9" s="90">
        <v>20000</v>
      </c>
      <c r="J9" s="90">
        <v>20000</v>
      </c>
      <c r="K9" s="90">
        <v>20000</v>
      </c>
      <c r="L9" s="83"/>
      <c r="M9" s="83"/>
      <c r="N9" s="83"/>
      <c r="O9" s="83"/>
      <c r="P9" s="83"/>
      <c r="Q9" s="83"/>
      <c r="R9" s="75">
        <v>45000</v>
      </c>
      <c r="S9" s="69"/>
      <c r="T9" s="12">
        <f t="shared" si="0"/>
        <v>120000</v>
      </c>
    </row>
    <row r="10" spans="1:20" s="6" customFormat="1" ht="18" customHeight="1" x14ac:dyDescent="0.2">
      <c r="A10" s="8">
        <v>10</v>
      </c>
      <c r="B10" s="9" t="s">
        <v>16</v>
      </c>
      <c r="C10" s="9"/>
      <c r="D10" s="10"/>
      <c r="E10" s="89">
        <v>46000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69"/>
      <c r="S10" s="69"/>
      <c r="T10" s="12">
        <f t="shared" si="0"/>
        <v>0</v>
      </c>
    </row>
    <row r="11" spans="1:20" s="6" customFormat="1" ht="18" customHeight="1" x14ac:dyDescent="0.2">
      <c r="A11" s="8">
        <v>11</v>
      </c>
      <c r="B11" s="9" t="s">
        <v>17</v>
      </c>
      <c r="C11" s="9"/>
      <c r="D11" s="10">
        <v>45403</v>
      </c>
      <c r="E11" s="89">
        <v>92000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75">
        <v>15000</v>
      </c>
      <c r="S11" s="69"/>
      <c r="T11" s="12">
        <f t="shared" si="0"/>
        <v>0</v>
      </c>
    </row>
    <row r="12" spans="1:20" s="6" customFormat="1" ht="18" customHeight="1" x14ac:dyDescent="0.2">
      <c r="A12" s="8">
        <v>12</v>
      </c>
      <c r="B12" s="9" t="s">
        <v>18</v>
      </c>
      <c r="C12" s="9"/>
      <c r="D12" s="10">
        <v>45461</v>
      </c>
      <c r="E12" s="89">
        <v>45000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75">
        <v>15000</v>
      </c>
      <c r="S12" s="70"/>
      <c r="T12" s="12">
        <f t="shared" si="0"/>
        <v>0</v>
      </c>
    </row>
    <row r="13" spans="1:20" s="6" customFormat="1" ht="18" customHeight="1" x14ac:dyDescent="0.2">
      <c r="A13" s="8">
        <v>13</v>
      </c>
      <c r="B13" s="9" t="s">
        <v>81</v>
      </c>
      <c r="C13" s="9"/>
      <c r="D13" s="10"/>
      <c r="E13" s="89">
        <v>92000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6">
        <v>30000</v>
      </c>
      <c r="S13" s="69"/>
      <c r="T13" s="12">
        <f t="shared" si="0"/>
        <v>0</v>
      </c>
    </row>
    <row r="14" spans="1:20" s="6" customFormat="1" ht="18" customHeight="1" x14ac:dyDescent="0.2">
      <c r="A14" s="8">
        <v>14</v>
      </c>
      <c r="B14" s="9" t="s">
        <v>20</v>
      </c>
      <c r="C14" s="9"/>
      <c r="D14" s="10">
        <v>45404</v>
      </c>
      <c r="E14" s="89">
        <v>46000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69"/>
      <c r="S14" s="69"/>
      <c r="T14" s="12">
        <f t="shared" si="0"/>
        <v>0</v>
      </c>
    </row>
    <row r="15" spans="1:20" s="6" customFormat="1" ht="18" customHeight="1" x14ac:dyDescent="0.2">
      <c r="A15" s="8">
        <v>15</v>
      </c>
      <c r="B15" s="9" t="s">
        <v>21</v>
      </c>
      <c r="C15" s="9"/>
      <c r="D15" s="10">
        <v>45325</v>
      </c>
      <c r="E15" s="89">
        <v>46000</v>
      </c>
      <c r="F15" s="90">
        <v>20000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69"/>
      <c r="S15" s="69"/>
      <c r="T15" s="12">
        <f t="shared" si="0"/>
        <v>20000</v>
      </c>
    </row>
    <row r="16" spans="1:20" s="6" customFormat="1" ht="18" customHeight="1" x14ac:dyDescent="0.2">
      <c r="A16" s="8">
        <v>16</v>
      </c>
      <c r="B16" s="9" t="s">
        <v>84</v>
      </c>
      <c r="C16" s="9"/>
      <c r="D16" s="10"/>
      <c r="E16" s="89">
        <v>46000</v>
      </c>
      <c r="F16" s="83"/>
      <c r="G16" s="83"/>
      <c r="H16" s="83"/>
      <c r="I16" s="83"/>
      <c r="J16" s="83"/>
      <c r="K16" s="83"/>
      <c r="L16" s="84"/>
      <c r="M16" s="84"/>
      <c r="N16" s="84"/>
      <c r="O16" s="84"/>
      <c r="P16" s="84"/>
      <c r="Q16" s="84"/>
      <c r="R16" s="69"/>
      <c r="S16" s="69"/>
      <c r="T16" s="12">
        <f t="shared" si="0"/>
        <v>0</v>
      </c>
    </row>
    <row r="17" spans="1:20" s="6" customFormat="1" ht="18" customHeight="1" x14ac:dyDescent="0.2">
      <c r="A17" s="8">
        <v>17</v>
      </c>
      <c r="B17" s="9" t="s">
        <v>85</v>
      </c>
      <c r="C17" s="13"/>
      <c r="D17" s="14">
        <v>45403</v>
      </c>
      <c r="E17" s="89">
        <v>46000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76">
        <v>30000</v>
      </c>
      <c r="S17" s="69"/>
      <c r="T17" s="12">
        <f t="shared" si="0"/>
        <v>0</v>
      </c>
    </row>
    <row r="18" spans="1:20" s="6" customFormat="1" ht="18" customHeight="1" x14ac:dyDescent="0.2">
      <c r="A18" s="8">
        <v>18</v>
      </c>
      <c r="B18" s="9" t="s">
        <v>40</v>
      </c>
      <c r="C18" s="13"/>
      <c r="D18" s="14"/>
      <c r="E18" s="89">
        <v>46000</v>
      </c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70"/>
      <c r="S18" s="70"/>
      <c r="T18" s="12">
        <f t="shared" si="0"/>
        <v>0</v>
      </c>
    </row>
    <row r="19" spans="1:20" s="6" customFormat="1" ht="18" customHeight="1" x14ac:dyDescent="0.2">
      <c r="A19" s="8">
        <v>19</v>
      </c>
      <c r="B19" s="9" t="s">
        <v>83</v>
      </c>
      <c r="C19" s="13"/>
      <c r="D19" s="14">
        <v>210000</v>
      </c>
      <c r="E19" s="89">
        <v>46000</v>
      </c>
      <c r="F19" s="90">
        <v>20000</v>
      </c>
      <c r="G19" s="90">
        <v>20000</v>
      </c>
      <c r="H19" s="90">
        <v>20000</v>
      </c>
      <c r="I19" s="90">
        <v>20000</v>
      </c>
      <c r="J19" s="90">
        <v>20000</v>
      </c>
      <c r="K19" s="90">
        <v>20000</v>
      </c>
      <c r="R19" s="90">
        <v>45000</v>
      </c>
      <c r="S19" s="90">
        <v>90000</v>
      </c>
      <c r="T19" s="91">
        <f>SUM(F19:Q19)</f>
        <v>120000</v>
      </c>
    </row>
    <row r="20" spans="1:20" s="6" customFormat="1" ht="18" customHeight="1" x14ac:dyDescent="0.2">
      <c r="A20" s="8">
        <v>20</v>
      </c>
      <c r="B20" s="9" t="s">
        <v>54</v>
      </c>
      <c r="C20" s="13"/>
      <c r="D20" s="15"/>
      <c r="E20" s="89">
        <v>46000</v>
      </c>
      <c r="F20" s="90">
        <v>20000</v>
      </c>
      <c r="G20" s="90">
        <v>20000</v>
      </c>
      <c r="H20" s="83"/>
      <c r="I20" s="83"/>
      <c r="J20" s="83"/>
      <c r="K20" s="83"/>
      <c r="L20" s="84"/>
      <c r="M20" s="84"/>
      <c r="N20" s="84"/>
      <c r="O20" s="84"/>
      <c r="P20" s="83"/>
      <c r="Q20" s="83"/>
      <c r="R20" s="75">
        <v>15000</v>
      </c>
      <c r="S20" s="75">
        <v>30000</v>
      </c>
      <c r="T20" s="12">
        <f t="shared" ref="T20:T21" si="1">F20+G20+H20+I20+J20+K20+L20+M20+N20+O20+P20+Q20</f>
        <v>40000</v>
      </c>
    </row>
    <row r="21" spans="1:20" s="6" customFormat="1" ht="18" customHeight="1" x14ac:dyDescent="0.2">
      <c r="A21" s="8">
        <v>21</v>
      </c>
      <c r="B21" s="9" t="s">
        <v>82</v>
      </c>
      <c r="C21" s="13"/>
      <c r="D21" s="15"/>
      <c r="E21" s="89">
        <v>46000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70"/>
      <c r="S21" s="70"/>
      <c r="T21" s="12">
        <f t="shared" si="1"/>
        <v>0</v>
      </c>
    </row>
    <row r="22" spans="1:20" ht="18" customHeight="1" x14ac:dyDescent="0.2">
      <c r="A22" s="87">
        <v>22</v>
      </c>
      <c r="B22" s="9" t="s">
        <v>69</v>
      </c>
      <c r="C22" s="16"/>
      <c r="D22" s="85"/>
      <c r="E22" s="96">
        <v>0</v>
      </c>
      <c r="F22" s="16"/>
      <c r="G22" s="16"/>
      <c r="H22" s="16"/>
      <c r="I22" s="16"/>
      <c r="J22" s="16"/>
      <c r="K22" s="16"/>
      <c r="L22" s="86"/>
      <c r="M22" s="86"/>
      <c r="N22" s="86"/>
      <c r="O22" s="86"/>
      <c r="P22" s="86"/>
      <c r="Q22" s="86"/>
      <c r="R22" s="75">
        <v>15000</v>
      </c>
      <c r="S22" s="86"/>
      <c r="T22" s="86"/>
    </row>
    <row r="23" spans="1:20" ht="18" customHeight="1" x14ac:dyDescent="0.2">
      <c r="A23" s="8">
        <v>23</v>
      </c>
      <c r="B23" s="9" t="s">
        <v>68</v>
      </c>
      <c r="C23" s="16"/>
      <c r="D23" s="85"/>
      <c r="E23" s="96">
        <v>46000</v>
      </c>
      <c r="F23" s="16"/>
      <c r="G23" s="16"/>
      <c r="H23" s="16"/>
      <c r="I23" s="16"/>
      <c r="J23" s="16"/>
      <c r="K23" s="16"/>
      <c r="L23" s="86"/>
      <c r="M23" s="86"/>
      <c r="N23" s="86"/>
      <c r="O23" s="86"/>
      <c r="P23" s="86"/>
      <c r="Q23" s="86"/>
      <c r="R23" s="94">
        <f>SUM(R4:R22)</f>
        <v>225000</v>
      </c>
      <c r="S23" s="94">
        <f>SUM(S7:S22)</f>
        <v>120000</v>
      </c>
      <c r="T23" s="86"/>
    </row>
    <row r="24" spans="1:20" ht="18" customHeight="1" x14ac:dyDescent="0.2">
      <c r="A24" s="8">
        <v>24</v>
      </c>
      <c r="B24" s="9" t="s">
        <v>66</v>
      </c>
      <c r="C24" s="16"/>
      <c r="D24" s="85"/>
      <c r="E24" s="96">
        <v>72000</v>
      </c>
      <c r="F24" s="90">
        <v>20000</v>
      </c>
      <c r="G24" s="90">
        <v>20000</v>
      </c>
      <c r="H24" s="90">
        <v>20000</v>
      </c>
      <c r="I24" s="90">
        <v>20000</v>
      </c>
      <c r="J24" s="90">
        <v>20000</v>
      </c>
      <c r="K24" s="90">
        <v>20000</v>
      </c>
      <c r="L24" s="86"/>
      <c r="M24" s="86"/>
      <c r="N24" s="86"/>
      <c r="O24" s="86"/>
      <c r="P24" s="86"/>
      <c r="Q24" s="86"/>
      <c r="R24" s="86"/>
      <c r="S24" s="86"/>
      <c r="T24" s="97">
        <f>SUM(F24:Q24)</f>
        <v>120000</v>
      </c>
    </row>
    <row r="25" spans="1:20" ht="18" customHeight="1" x14ac:dyDescent="0.2">
      <c r="A25" s="87">
        <v>25</v>
      </c>
      <c r="B25" s="9" t="s">
        <v>65</v>
      </c>
      <c r="C25" s="16"/>
      <c r="D25" s="85"/>
      <c r="E25" s="102">
        <v>92000</v>
      </c>
      <c r="F25" s="16"/>
      <c r="G25" s="16"/>
      <c r="H25" s="16"/>
      <c r="I25" s="16"/>
      <c r="J25" s="16"/>
      <c r="K25" s="16"/>
      <c r="L25" s="86"/>
      <c r="M25" s="86"/>
      <c r="N25" s="86"/>
      <c r="O25" s="86"/>
      <c r="P25" s="86"/>
      <c r="Q25" s="86"/>
      <c r="R25" s="86"/>
      <c r="S25" s="86"/>
      <c r="T25" s="86"/>
    </row>
    <row r="26" spans="1:20" ht="18" customHeight="1" x14ac:dyDescent="0.2">
      <c r="A26" s="8">
        <v>26</v>
      </c>
      <c r="B26" s="9" t="s">
        <v>67</v>
      </c>
      <c r="C26" s="16"/>
      <c r="D26" s="85"/>
      <c r="E26" s="96">
        <v>46000</v>
      </c>
      <c r="F26" s="16"/>
      <c r="G26" s="16"/>
      <c r="H26" s="16"/>
      <c r="I26" s="16"/>
      <c r="J26" s="16"/>
      <c r="K26" s="95"/>
      <c r="L26" s="86"/>
      <c r="M26" s="86"/>
      <c r="N26" s="86"/>
      <c r="O26" s="86"/>
      <c r="P26" s="86"/>
      <c r="Q26" s="86"/>
      <c r="R26" s="86"/>
      <c r="S26" s="86"/>
      <c r="T26" s="86"/>
    </row>
    <row r="27" spans="1:20" ht="18" customHeight="1" x14ac:dyDescent="0.2">
      <c r="A27" s="8">
        <v>27</v>
      </c>
      <c r="B27" s="9" t="s">
        <v>70</v>
      </c>
      <c r="C27" s="16"/>
      <c r="D27" s="85"/>
      <c r="E27" s="96"/>
      <c r="F27" s="16"/>
      <c r="G27" s="16"/>
      <c r="H27" s="16"/>
      <c r="I27" s="16"/>
      <c r="J27" s="16"/>
      <c r="K27" s="95"/>
      <c r="L27" s="86"/>
      <c r="M27" s="86"/>
      <c r="N27" s="86"/>
      <c r="O27" s="86"/>
      <c r="P27" s="86"/>
      <c r="Q27" s="86"/>
      <c r="R27" s="86"/>
      <c r="S27" s="86"/>
      <c r="T27" s="86"/>
    </row>
    <row r="28" spans="1:20" ht="18" customHeight="1" x14ac:dyDescent="0.2">
      <c r="A28" s="122"/>
      <c r="B28" s="9" t="s">
        <v>86</v>
      </c>
      <c r="C28" s="16"/>
      <c r="D28" s="85"/>
      <c r="E28" s="96"/>
      <c r="F28" s="16"/>
      <c r="G28" s="16"/>
      <c r="H28" s="16"/>
      <c r="I28" s="16"/>
      <c r="J28" s="16"/>
      <c r="K28" s="124"/>
      <c r="L28" s="86"/>
      <c r="M28" s="86"/>
      <c r="N28" s="123"/>
      <c r="O28" s="86"/>
      <c r="P28" s="86"/>
      <c r="Q28" s="86"/>
      <c r="R28" s="86"/>
      <c r="S28" s="86"/>
      <c r="T28" s="86"/>
    </row>
    <row r="29" spans="1:20" x14ac:dyDescent="0.2">
      <c r="B29" s="9" t="s">
        <v>10</v>
      </c>
      <c r="C29" s="9"/>
      <c r="D29" s="10">
        <v>45461</v>
      </c>
      <c r="E29" s="107">
        <v>92000</v>
      </c>
      <c r="F29" s="108">
        <v>20000</v>
      </c>
      <c r="G29" s="108">
        <v>20000</v>
      </c>
      <c r="H29" s="108">
        <v>20000</v>
      </c>
      <c r="I29" s="83"/>
      <c r="J29" s="83"/>
      <c r="K29" s="83"/>
      <c r="L29" s="83"/>
      <c r="M29" s="83"/>
      <c r="N29" s="83"/>
      <c r="O29" s="83"/>
      <c r="P29" s="83"/>
      <c r="Q29" s="83"/>
      <c r="R29" s="75">
        <v>15000</v>
      </c>
      <c r="S29" s="75">
        <v>30000</v>
      </c>
      <c r="T29" s="12">
        <f>F29+G29+H29+I29+J29+K29+L29+M29+N29+O29+P29+Q29</f>
        <v>60000</v>
      </c>
    </row>
    <row r="30" spans="1:20" x14ac:dyDescent="0.2">
      <c r="B30" s="9" t="s">
        <v>11</v>
      </c>
      <c r="C30" s="9"/>
      <c r="D30" s="10">
        <v>45412</v>
      </c>
      <c r="E30" s="107">
        <v>46000</v>
      </c>
      <c r="F30" s="108"/>
      <c r="G30" s="108"/>
      <c r="H30" s="108"/>
      <c r="I30" s="83"/>
      <c r="J30" s="83"/>
      <c r="K30" s="83"/>
      <c r="L30" s="83"/>
      <c r="M30" s="83"/>
      <c r="N30" s="83"/>
      <c r="O30" s="83"/>
      <c r="P30" s="83"/>
      <c r="Q30" s="83"/>
      <c r="R30" s="75">
        <v>15000</v>
      </c>
      <c r="S30" s="69"/>
      <c r="T30" s="12">
        <f>F30+G30+H30+I30+J30+K30+L30+M30+N30+O30+P30+Q30</f>
        <v>0</v>
      </c>
    </row>
    <row r="40" spans="2:4" ht="18" customHeight="1" x14ac:dyDescent="0.2">
      <c r="B40" s="1" t="s">
        <v>77</v>
      </c>
      <c r="C40" s="1" t="s">
        <v>75</v>
      </c>
      <c r="D40" s="7" t="s">
        <v>76</v>
      </c>
    </row>
    <row r="41" spans="2:4" ht="18" customHeight="1" x14ac:dyDescent="0.2">
      <c r="B41" s="98" t="s">
        <v>71</v>
      </c>
      <c r="C41" s="99">
        <v>153579.29999999999</v>
      </c>
    </row>
    <row r="42" spans="2:4" ht="18" customHeight="1" x14ac:dyDescent="0.2">
      <c r="B42" s="103" t="s">
        <v>78</v>
      </c>
      <c r="C42" s="99">
        <v>307158</v>
      </c>
    </row>
    <row r="43" spans="2:4" ht="18" customHeight="1" x14ac:dyDescent="0.2">
      <c r="B43" s="100" t="s">
        <v>72</v>
      </c>
      <c r="C43" s="99">
        <v>92000</v>
      </c>
    </row>
    <row r="44" spans="2:4" ht="18" customHeight="1" x14ac:dyDescent="0.2">
      <c r="B44" s="100" t="s">
        <v>73</v>
      </c>
      <c r="C44" s="99">
        <v>46000</v>
      </c>
    </row>
    <row r="45" spans="2:4" ht="18" customHeight="1" x14ac:dyDescent="0.2">
      <c r="B45" s="104" t="s">
        <v>80</v>
      </c>
      <c r="C45" s="99">
        <v>46000</v>
      </c>
    </row>
    <row r="46" spans="2:4" ht="18" customHeight="1" x14ac:dyDescent="0.2">
      <c r="B46" s="104" t="s">
        <v>79</v>
      </c>
      <c r="C46" s="105">
        <v>157350</v>
      </c>
    </row>
    <row r="47" spans="2:4" ht="18" customHeight="1" x14ac:dyDescent="0.25">
      <c r="B47" s="101" t="s">
        <v>74</v>
      </c>
      <c r="C47" s="99"/>
      <c r="D47" s="99">
        <v>80000</v>
      </c>
    </row>
    <row r="48" spans="2:4" x14ac:dyDescent="0.2">
      <c r="C48" s="106">
        <f>SUM(C41:C46)</f>
        <v>802087.3</v>
      </c>
    </row>
    <row r="49" spans="3:3" x14ac:dyDescent="0.2">
      <c r="C49" s="106">
        <f>-D47</f>
        <v>-80000</v>
      </c>
    </row>
    <row r="50" spans="3:3" x14ac:dyDescent="0.2">
      <c r="C50" s="106">
        <f>SUM(C48:C49)</f>
        <v>722087.3</v>
      </c>
    </row>
  </sheetData>
  <mergeCells count="1">
    <mergeCell ref="F1:Q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47D0-567A-4B61-BE44-4560A0BDD76C}">
  <dimension ref="A1:T30"/>
  <sheetViews>
    <sheetView zoomScale="70" zoomScaleNormal="70" workbookViewId="0">
      <selection activeCell="B32" sqref="B32"/>
    </sheetView>
  </sheetViews>
  <sheetFormatPr baseColWidth="10" defaultColWidth="12" defaultRowHeight="12.75" x14ac:dyDescent="0.2"/>
  <cols>
    <col min="1" max="1" width="6.33203125" style="1" customWidth="1"/>
    <col min="2" max="2" width="69.83203125" style="1" customWidth="1"/>
    <col min="3" max="3" width="9.33203125" style="1" customWidth="1"/>
    <col min="4" max="4" width="20.6640625" style="7" hidden="1" customWidth="1"/>
    <col min="5" max="5" width="12" style="7" bestFit="1" customWidth="1"/>
    <col min="6" max="6" width="11" style="1" customWidth="1"/>
    <col min="7" max="7" width="12.1640625" style="1" customWidth="1"/>
    <col min="8" max="10" width="12" style="1"/>
    <col min="11" max="11" width="12.1640625" style="1" customWidth="1"/>
    <col min="12" max="17" width="12" style="3"/>
    <col min="18" max="18" width="10.6640625" style="3" hidden="1" customWidth="1"/>
    <col min="19" max="19" width="12.33203125" style="3" hidden="1" customWidth="1"/>
    <col min="20" max="20" width="12.5" style="3" bestFit="1" customWidth="1"/>
    <col min="21" max="21" width="15" style="3" customWidth="1"/>
    <col min="22" max="16384" width="12" style="3"/>
  </cols>
  <sheetData>
    <row r="1" spans="1:20" ht="20.100000000000001" customHeight="1" x14ac:dyDescent="0.2">
      <c r="A1" s="19"/>
      <c r="B1" s="19"/>
      <c r="C1" s="19"/>
      <c r="D1" s="20"/>
      <c r="E1" s="82"/>
      <c r="F1" s="112" t="s">
        <v>62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74"/>
      <c r="S1" s="74"/>
      <c r="T1" s="71"/>
    </row>
    <row r="2" spans="1:20" s="2" customFormat="1" ht="25.5" x14ac:dyDescent="0.2">
      <c r="A2" s="21"/>
      <c r="B2" s="22" t="s">
        <v>0</v>
      </c>
      <c r="C2" s="22"/>
      <c r="D2" s="22" t="s">
        <v>36</v>
      </c>
      <c r="E2" s="88" t="s">
        <v>60</v>
      </c>
      <c r="F2" s="72" t="s">
        <v>26</v>
      </c>
      <c r="G2" s="72" t="s">
        <v>43</v>
      </c>
      <c r="H2" s="72" t="s">
        <v>27</v>
      </c>
      <c r="I2" s="72" t="s">
        <v>28</v>
      </c>
      <c r="J2" s="72" t="s">
        <v>29</v>
      </c>
      <c r="K2" s="72" t="s">
        <v>30</v>
      </c>
      <c r="L2" s="72" t="s">
        <v>1</v>
      </c>
      <c r="M2" s="72" t="s">
        <v>31</v>
      </c>
      <c r="N2" s="72" t="s">
        <v>32</v>
      </c>
      <c r="O2" s="72" t="s">
        <v>33</v>
      </c>
      <c r="P2" s="72" t="s">
        <v>34</v>
      </c>
      <c r="Q2" s="72" t="s">
        <v>35</v>
      </c>
      <c r="R2" s="72" t="s">
        <v>57</v>
      </c>
      <c r="S2" s="72" t="s">
        <v>58</v>
      </c>
      <c r="T2" s="73" t="s">
        <v>55</v>
      </c>
    </row>
    <row r="3" spans="1:20" s="6" customFormat="1" ht="12.75" customHeight="1" x14ac:dyDescent="0.2">
      <c r="A3" s="8">
        <v>1</v>
      </c>
      <c r="B3" s="9" t="s">
        <v>3</v>
      </c>
      <c r="C3" s="9"/>
      <c r="D3" s="10">
        <v>45461</v>
      </c>
      <c r="E3" s="89">
        <v>46000</v>
      </c>
      <c r="F3" s="90">
        <v>20000</v>
      </c>
      <c r="G3" s="90">
        <v>20000</v>
      </c>
      <c r="H3" s="90">
        <v>20000</v>
      </c>
      <c r="I3" s="90">
        <v>20000</v>
      </c>
      <c r="J3" s="90">
        <v>20000</v>
      </c>
      <c r="K3" s="90">
        <v>20000</v>
      </c>
      <c r="L3" s="90">
        <v>20000</v>
      </c>
      <c r="M3" s="90">
        <v>20000</v>
      </c>
      <c r="N3" s="90">
        <v>20000</v>
      </c>
      <c r="O3" s="90">
        <v>20000</v>
      </c>
      <c r="P3" s="83"/>
      <c r="Q3" s="83"/>
      <c r="R3" s="70"/>
      <c r="S3" s="70"/>
      <c r="T3" s="91">
        <f t="shared" ref="T3:T20" si="0">F3+G3+H3+I3+J3+K3+L3+M3+N3+O3+P3+Q3</f>
        <v>200000</v>
      </c>
    </row>
    <row r="4" spans="1:20" s="6" customFormat="1" x14ac:dyDescent="0.2">
      <c r="A4" s="8">
        <v>2</v>
      </c>
      <c r="B4" s="9" t="s">
        <v>6</v>
      </c>
      <c r="C4" s="9"/>
      <c r="D4" s="10">
        <v>45360</v>
      </c>
      <c r="E4" s="89">
        <v>46000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75">
        <v>15000</v>
      </c>
      <c r="S4" s="69"/>
      <c r="T4" s="12">
        <f t="shared" si="0"/>
        <v>0</v>
      </c>
    </row>
    <row r="5" spans="1:20" s="6" customFormat="1" ht="18.75" customHeight="1" x14ac:dyDescent="0.2">
      <c r="A5" s="8">
        <v>3</v>
      </c>
      <c r="B5" s="9" t="s">
        <v>7</v>
      </c>
      <c r="C5" s="9"/>
      <c r="D5" s="10"/>
      <c r="E5" s="89">
        <v>46000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69"/>
      <c r="S5" s="69"/>
      <c r="T5" s="12">
        <f t="shared" si="0"/>
        <v>0</v>
      </c>
    </row>
    <row r="6" spans="1:20" s="6" customFormat="1" ht="18.75" customHeight="1" x14ac:dyDescent="0.2">
      <c r="A6" s="8">
        <v>4</v>
      </c>
      <c r="B6" s="9" t="s">
        <v>63</v>
      </c>
      <c r="C6" s="9"/>
      <c r="D6" s="10">
        <v>45461</v>
      </c>
      <c r="E6" s="92">
        <v>92000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70"/>
      <c r="S6" s="70"/>
      <c r="T6" s="12">
        <f t="shared" si="0"/>
        <v>0</v>
      </c>
    </row>
    <row r="7" spans="1:20" s="6" customFormat="1" ht="18.75" customHeight="1" x14ac:dyDescent="0.2">
      <c r="A7" s="8">
        <v>5</v>
      </c>
      <c r="B7" s="9" t="s">
        <v>10</v>
      </c>
      <c r="C7" s="9"/>
      <c r="D7" s="10">
        <v>45461</v>
      </c>
      <c r="E7" s="89">
        <v>92000</v>
      </c>
      <c r="F7" s="90">
        <v>20000</v>
      </c>
      <c r="G7" s="90">
        <v>20000</v>
      </c>
      <c r="H7" s="90">
        <v>20000</v>
      </c>
      <c r="I7" s="83"/>
      <c r="J7" s="83"/>
      <c r="K7" s="83"/>
      <c r="L7" s="83"/>
      <c r="M7" s="83"/>
      <c r="N7" s="83"/>
      <c r="O7" s="83"/>
      <c r="P7" s="83"/>
      <c r="Q7" s="83"/>
      <c r="R7" s="75">
        <v>15000</v>
      </c>
      <c r="S7" s="75">
        <v>30000</v>
      </c>
      <c r="T7" s="12">
        <f t="shared" si="0"/>
        <v>60000</v>
      </c>
    </row>
    <row r="8" spans="1:20" s="6" customFormat="1" ht="18.75" customHeight="1" x14ac:dyDescent="0.2">
      <c r="A8" s="8">
        <v>6</v>
      </c>
      <c r="B8" s="9" t="s">
        <v>11</v>
      </c>
      <c r="C8" s="9"/>
      <c r="D8" s="10">
        <v>45412</v>
      </c>
      <c r="E8" s="89">
        <v>46000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75">
        <v>15000</v>
      </c>
      <c r="S8" s="69"/>
      <c r="T8" s="12">
        <f t="shared" si="0"/>
        <v>0</v>
      </c>
    </row>
    <row r="9" spans="1:20" s="6" customFormat="1" ht="18.75" customHeight="1" x14ac:dyDescent="0.2">
      <c r="A9" s="8">
        <v>7</v>
      </c>
      <c r="B9" s="9" t="s">
        <v>12</v>
      </c>
      <c r="C9" s="9"/>
      <c r="D9" s="10">
        <v>45403</v>
      </c>
      <c r="E9" s="89">
        <v>46000</v>
      </c>
      <c r="F9" s="90">
        <v>20000</v>
      </c>
      <c r="G9" s="90">
        <v>20000</v>
      </c>
      <c r="H9" s="90">
        <v>20000</v>
      </c>
      <c r="I9" s="90">
        <v>20000</v>
      </c>
      <c r="J9" s="90">
        <v>20000</v>
      </c>
      <c r="K9" s="90">
        <v>20000</v>
      </c>
      <c r="L9" s="90">
        <v>20000</v>
      </c>
      <c r="M9" s="90">
        <v>20000</v>
      </c>
      <c r="N9" s="90">
        <v>20000</v>
      </c>
      <c r="O9" s="90">
        <v>20000</v>
      </c>
      <c r="P9" s="90">
        <v>20000</v>
      </c>
      <c r="Q9" s="90">
        <v>20000</v>
      </c>
      <c r="R9" s="90"/>
      <c r="S9" s="90"/>
      <c r="T9" s="91">
        <f t="shared" si="0"/>
        <v>240000</v>
      </c>
    </row>
    <row r="10" spans="1:20" s="6" customFormat="1" x14ac:dyDescent="0.2">
      <c r="A10" s="8">
        <v>8</v>
      </c>
      <c r="B10" s="9" t="s">
        <v>14</v>
      </c>
      <c r="C10" s="9"/>
      <c r="D10" s="10"/>
      <c r="E10" s="89">
        <v>92000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69"/>
      <c r="S10" s="69"/>
      <c r="T10" s="12">
        <f t="shared" si="0"/>
        <v>0</v>
      </c>
    </row>
    <row r="11" spans="1:20" s="6" customFormat="1" ht="18.75" customHeight="1" x14ac:dyDescent="0.2">
      <c r="A11" s="8">
        <v>9</v>
      </c>
      <c r="B11" s="9" t="s">
        <v>15</v>
      </c>
      <c r="C11" s="9"/>
      <c r="D11" s="10">
        <v>45404</v>
      </c>
      <c r="E11" s="89">
        <v>46000</v>
      </c>
      <c r="F11" s="90">
        <v>20000</v>
      </c>
      <c r="G11" s="90">
        <v>20000</v>
      </c>
      <c r="H11" s="90">
        <v>20000</v>
      </c>
      <c r="I11" s="90">
        <v>20000</v>
      </c>
      <c r="J11" s="90">
        <v>20000</v>
      </c>
      <c r="K11" s="90">
        <v>20000</v>
      </c>
      <c r="L11" s="83"/>
      <c r="M11" s="83"/>
      <c r="N11" s="83"/>
      <c r="O11" s="83"/>
      <c r="P11" s="83"/>
      <c r="Q11" s="83"/>
      <c r="R11" s="75">
        <v>45000</v>
      </c>
      <c r="S11" s="69"/>
      <c r="T11" s="12">
        <f t="shared" si="0"/>
        <v>120000</v>
      </c>
    </row>
    <row r="12" spans="1:20" s="6" customFormat="1" ht="18.75" customHeight="1" x14ac:dyDescent="0.2">
      <c r="A12" s="8">
        <v>10</v>
      </c>
      <c r="B12" s="9" t="s">
        <v>16</v>
      </c>
      <c r="C12" s="9"/>
      <c r="D12" s="10"/>
      <c r="E12" s="89">
        <v>46000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69"/>
      <c r="S12" s="69"/>
      <c r="T12" s="12">
        <f t="shared" si="0"/>
        <v>0</v>
      </c>
    </row>
    <row r="13" spans="1:20" s="6" customFormat="1" ht="18.75" customHeight="1" x14ac:dyDescent="0.2">
      <c r="A13" s="8">
        <v>11</v>
      </c>
      <c r="B13" s="9" t="s">
        <v>17</v>
      </c>
      <c r="C13" s="9"/>
      <c r="D13" s="10">
        <v>45403</v>
      </c>
      <c r="E13" s="89">
        <v>92000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75">
        <v>15000</v>
      </c>
      <c r="S13" s="69"/>
      <c r="T13" s="12">
        <f t="shared" si="0"/>
        <v>0</v>
      </c>
    </row>
    <row r="14" spans="1:20" s="6" customFormat="1" ht="18.75" customHeight="1" x14ac:dyDescent="0.2">
      <c r="A14" s="8">
        <v>12</v>
      </c>
      <c r="B14" s="9" t="s">
        <v>18</v>
      </c>
      <c r="C14" s="9"/>
      <c r="D14" s="10">
        <v>45461</v>
      </c>
      <c r="E14" s="89">
        <v>45000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5">
        <v>15000</v>
      </c>
      <c r="S14" s="70"/>
      <c r="T14" s="12">
        <f t="shared" si="0"/>
        <v>0</v>
      </c>
    </row>
    <row r="15" spans="1:20" s="6" customFormat="1" ht="18.75" customHeight="1" x14ac:dyDescent="0.2">
      <c r="A15" s="8">
        <v>13</v>
      </c>
      <c r="B15" s="9" t="s">
        <v>19</v>
      </c>
      <c r="C15" s="9"/>
      <c r="D15" s="10"/>
      <c r="E15" s="89">
        <v>92000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76">
        <v>30000</v>
      </c>
      <c r="S15" s="69"/>
      <c r="T15" s="12">
        <f t="shared" si="0"/>
        <v>0</v>
      </c>
    </row>
    <row r="16" spans="1:20" s="6" customFormat="1" ht="18.75" customHeight="1" x14ac:dyDescent="0.2">
      <c r="A16" s="8">
        <v>14</v>
      </c>
      <c r="B16" s="9" t="s">
        <v>20</v>
      </c>
      <c r="C16" s="9"/>
      <c r="D16" s="10">
        <v>45404</v>
      </c>
      <c r="E16" s="89">
        <v>46000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69"/>
      <c r="S16" s="69"/>
      <c r="T16" s="12">
        <f t="shared" si="0"/>
        <v>0</v>
      </c>
    </row>
    <row r="17" spans="1:20" s="6" customFormat="1" ht="18.75" customHeight="1" x14ac:dyDescent="0.2">
      <c r="A17" s="8">
        <v>15</v>
      </c>
      <c r="B17" s="9" t="s">
        <v>21</v>
      </c>
      <c r="C17" s="9"/>
      <c r="D17" s="10">
        <v>45325</v>
      </c>
      <c r="E17" s="89">
        <v>46000</v>
      </c>
      <c r="F17" s="90">
        <v>20000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69"/>
      <c r="S17" s="69"/>
      <c r="T17" s="12">
        <f t="shared" si="0"/>
        <v>20000</v>
      </c>
    </row>
    <row r="18" spans="1:20" s="6" customFormat="1" ht="18.75" customHeight="1" x14ac:dyDescent="0.2">
      <c r="A18" s="8">
        <v>16</v>
      </c>
      <c r="B18" s="9" t="s">
        <v>22</v>
      </c>
      <c r="C18" s="9"/>
      <c r="D18" s="10"/>
      <c r="E18" s="89">
        <v>46000</v>
      </c>
      <c r="F18" s="83"/>
      <c r="G18" s="83"/>
      <c r="H18" s="83"/>
      <c r="I18" s="83"/>
      <c r="J18" s="83"/>
      <c r="K18" s="83"/>
      <c r="L18" s="84"/>
      <c r="M18" s="84"/>
      <c r="N18" s="84"/>
      <c r="O18" s="84"/>
      <c r="P18" s="84"/>
      <c r="Q18" s="84"/>
      <c r="R18" s="69"/>
      <c r="S18" s="69"/>
      <c r="T18" s="12">
        <f t="shared" si="0"/>
        <v>0</v>
      </c>
    </row>
    <row r="19" spans="1:20" s="6" customFormat="1" ht="18.75" customHeight="1" x14ac:dyDescent="0.2">
      <c r="A19" s="8">
        <v>17</v>
      </c>
      <c r="B19" s="9" t="s">
        <v>38</v>
      </c>
      <c r="C19" s="13"/>
      <c r="D19" s="14">
        <v>45403</v>
      </c>
      <c r="E19" s="89">
        <v>46000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76">
        <v>30000</v>
      </c>
      <c r="S19" s="69"/>
      <c r="T19" s="12">
        <f t="shared" si="0"/>
        <v>0</v>
      </c>
    </row>
    <row r="20" spans="1:20" s="6" customFormat="1" ht="18.75" customHeight="1" x14ac:dyDescent="0.2">
      <c r="A20" s="8">
        <v>18</v>
      </c>
      <c r="B20" s="9" t="s">
        <v>40</v>
      </c>
      <c r="C20" s="13"/>
      <c r="D20" s="14"/>
      <c r="E20" s="89">
        <v>46000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70"/>
      <c r="S20" s="70"/>
      <c r="T20" s="12">
        <f t="shared" si="0"/>
        <v>0</v>
      </c>
    </row>
    <row r="21" spans="1:20" s="6" customFormat="1" ht="18.75" customHeight="1" x14ac:dyDescent="0.2">
      <c r="A21" s="8">
        <v>19</v>
      </c>
      <c r="B21" s="9" t="s">
        <v>64</v>
      </c>
      <c r="C21" s="13"/>
      <c r="D21" s="14">
        <v>210000</v>
      </c>
      <c r="E21" s="89">
        <v>46000</v>
      </c>
      <c r="F21" s="90">
        <v>20000</v>
      </c>
      <c r="G21" s="90">
        <v>20000</v>
      </c>
      <c r="H21" s="90">
        <v>20000</v>
      </c>
      <c r="I21" s="90">
        <v>20000</v>
      </c>
      <c r="J21" s="90">
        <v>20000</v>
      </c>
      <c r="K21" s="90">
        <v>20000</v>
      </c>
      <c r="R21" s="90">
        <v>45000</v>
      </c>
      <c r="S21" s="90">
        <v>90000</v>
      </c>
      <c r="T21" s="91">
        <f>SUM(F21:Q21)</f>
        <v>120000</v>
      </c>
    </row>
    <row r="22" spans="1:20" s="6" customFormat="1" ht="18.75" customHeight="1" x14ac:dyDescent="0.2">
      <c r="A22" s="8">
        <v>20</v>
      </c>
      <c r="B22" s="9" t="s">
        <v>54</v>
      </c>
      <c r="C22" s="13"/>
      <c r="D22" s="15"/>
      <c r="E22" s="89">
        <v>46000</v>
      </c>
      <c r="F22" s="90">
        <v>20000</v>
      </c>
      <c r="G22" s="90">
        <v>20000</v>
      </c>
      <c r="H22" s="83"/>
      <c r="I22" s="83"/>
      <c r="J22" s="83"/>
      <c r="K22" s="83"/>
      <c r="L22" s="84"/>
      <c r="M22" s="84"/>
      <c r="N22" s="84"/>
      <c r="O22" s="84"/>
      <c r="P22" s="83"/>
      <c r="Q22" s="83"/>
      <c r="R22" s="75">
        <v>15000</v>
      </c>
      <c r="S22" s="75">
        <v>30000</v>
      </c>
      <c r="T22" s="12">
        <f t="shared" ref="T22:T23" si="1">F22+G22+H22+I22+J22+K22+L22+M22+N22+O22+P22+Q22</f>
        <v>40000</v>
      </c>
    </row>
    <row r="23" spans="1:20" s="6" customFormat="1" ht="18.75" customHeight="1" x14ac:dyDescent="0.2">
      <c r="A23" s="8">
        <v>21</v>
      </c>
      <c r="B23" s="9" t="s">
        <v>56</v>
      </c>
      <c r="C23" s="13"/>
      <c r="D23" s="15"/>
      <c r="E23" s="89">
        <v>46000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70"/>
      <c r="S23" s="70"/>
      <c r="T23" s="12">
        <f t="shared" si="1"/>
        <v>0</v>
      </c>
    </row>
    <row r="24" spans="1:20" ht="17.100000000000001" customHeight="1" x14ac:dyDescent="0.2">
      <c r="A24" s="87">
        <v>22</v>
      </c>
      <c r="B24" s="9" t="s">
        <v>69</v>
      </c>
      <c r="C24" s="16"/>
      <c r="D24" s="85"/>
      <c r="E24" s="96">
        <v>0</v>
      </c>
      <c r="F24" s="16"/>
      <c r="G24" s="16"/>
      <c r="H24" s="16"/>
      <c r="I24" s="16"/>
      <c r="J24" s="16"/>
      <c r="K24" s="16"/>
      <c r="L24" s="86"/>
      <c r="M24" s="86"/>
      <c r="N24" s="86"/>
      <c r="O24" s="86"/>
      <c r="P24" s="86"/>
      <c r="Q24" s="86"/>
      <c r="R24" s="75">
        <v>15000</v>
      </c>
      <c r="S24" s="86"/>
      <c r="T24" s="86"/>
    </row>
    <row r="25" spans="1:20" x14ac:dyDescent="0.2">
      <c r="A25" s="8">
        <v>23</v>
      </c>
      <c r="B25" s="9" t="s">
        <v>68</v>
      </c>
      <c r="C25" s="16"/>
      <c r="D25" s="85"/>
      <c r="E25" s="96">
        <v>46000</v>
      </c>
      <c r="F25" s="16"/>
      <c r="G25" s="16"/>
      <c r="H25" s="16"/>
      <c r="I25" s="16"/>
      <c r="J25" s="16"/>
      <c r="K25" s="16"/>
      <c r="L25" s="86"/>
      <c r="M25" s="86"/>
      <c r="N25" s="86"/>
      <c r="O25" s="86"/>
      <c r="P25" s="86"/>
      <c r="Q25" s="86"/>
      <c r="R25" s="94">
        <f>SUM(R4:R24)</f>
        <v>255000</v>
      </c>
      <c r="S25" s="94">
        <f>SUM(S7:S24)</f>
        <v>150000</v>
      </c>
      <c r="T25" s="86"/>
    </row>
    <row r="26" spans="1:20" x14ac:dyDescent="0.2">
      <c r="A26" s="8">
        <v>24</v>
      </c>
      <c r="B26" s="9" t="s">
        <v>66</v>
      </c>
      <c r="C26" s="16"/>
      <c r="D26" s="85"/>
      <c r="E26" s="96">
        <v>72000</v>
      </c>
      <c r="F26" s="90">
        <v>20000</v>
      </c>
      <c r="G26" s="90">
        <v>20000</v>
      </c>
      <c r="H26" s="90">
        <v>20000</v>
      </c>
      <c r="I26" s="90">
        <v>20000</v>
      </c>
      <c r="J26" s="90">
        <v>20000</v>
      </c>
      <c r="K26" s="90">
        <v>20000</v>
      </c>
      <c r="L26" s="86"/>
      <c r="M26" s="86"/>
      <c r="N26" s="86"/>
      <c r="O26" s="86"/>
      <c r="P26" s="86"/>
      <c r="Q26" s="86"/>
      <c r="R26" s="86"/>
      <c r="S26" s="86"/>
      <c r="T26" s="97">
        <f>SUM(F26:Q26)</f>
        <v>120000</v>
      </c>
    </row>
    <row r="27" spans="1:20" x14ac:dyDescent="0.2">
      <c r="A27" s="87">
        <v>25</v>
      </c>
      <c r="B27" s="9" t="s">
        <v>65</v>
      </c>
      <c r="C27" s="16"/>
      <c r="D27" s="85"/>
      <c r="E27" s="96">
        <v>92000</v>
      </c>
      <c r="F27" s="16"/>
      <c r="G27" s="16"/>
      <c r="H27" s="16"/>
      <c r="I27" s="16"/>
      <c r="J27" s="16"/>
      <c r="K27" s="16"/>
      <c r="L27" s="86"/>
      <c r="M27" s="86"/>
      <c r="N27" s="86"/>
      <c r="O27" s="86"/>
      <c r="P27" s="86"/>
      <c r="Q27" s="86"/>
      <c r="R27" s="86"/>
      <c r="S27" s="86"/>
      <c r="T27" s="86"/>
    </row>
    <row r="28" spans="1:20" x14ac:dyDescent="0.2">
      <c r="A28" s="8">
        <v>26</v>
      </c>
      <c r="B28" s="9" t="s">
        <v>67</v>
      </c>
      <c r="C28" s="16"/>
      <c r="D28" s="85"/>
      <c r="E28" s="96">
        <v>46000</v>
      </c>
      <c r="F28" s="16"/>
      <c r="G28" s="16"/>
      <c r="H28" s="16"/>
      <c r="I28" s="16"/>
      <c r="J28" s="16"/>
      <c r="K28" s="95"/>
      <c r="L28" s="86"/>
      <c r="M28" s="86"/>
      <c r="N28" s="86"/>
      <c r="O28" s="86"/>
      <c r="P28" s="86"/>
      <c r="Q28" s="86"/>
      <c r="R28" s="86"/>
      <c r="S28" s="86"/>
      <c r="T28" s="86"/>
    </row>
    <row r="29" spans="1:20" x14ac:dyDescent="0.2">
      <c r="A29" s="8">
        <v>27</v>
      </c>
      <c r="B29" s="9" t="s">
        <v>70</v>
      </c>
      <c r="C29" s="16"/>
      <c r="D29" s="85"/>
      <c r="E29" s="96"/>
      <c r="F29" s="16"/>
      <c r="G29" s="16"/>
      <c r="H29" s="16"/>
      <c r="I29" s="16"/>
      <c r="J29" s="16"/>
      <c r="K29" s="95"/>
      <c r="L29" s="86"/>
      <c r="M29" s="86"/>
      <c r="N29" s="86"/>
      <c r="O29" s="86"/>
      <c r="P29" s="86"/>
      <c r="Q29" s="86"/>
      <c r="R29" s="86"/>
      <c r="S29" s="86"/>
      <c r="T29" s="86"/>
    </row>
    <row r="30" spans="1:20" x14ac:dyDescent="0.2">
      <c r="E30" s="7">
        <f>SUM(E3:E29)</f>
        <v>1451000</v>
      </c>
      <c r="K30" s="93"/>
    </row>
  </sheetData>
  <mergeCells count="1">
    <mergeCell ref="F1:Q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6"/>
  <sheetViews>
    <sheetView view="pageBreakPreview" topLeftCell="A13" zoomScaleNormal="85" zoomScaleSheetLayoutView="100" workbookViewId="0">
      <selection activeCell="B46" sqref="B46:C46"/>
    </sheetView>
  </sheetViews>
  <sheetFormatPr baseColWidth="10" defaultColWidth="12" defaultRowHeight="12.75" x14ac:dyDescent="0.2"/>
  <cols>
    <col min="1" max="1" width="10.83203125" style="1" customWidth="1"/>
    <col min="2" max="2" width="75.33203125" style="1" customWidth="1"/>
    <col min="3" max="3" width="70.83203125" style="1" customWidth="1"/>
    <col min="4" max="4" width="45" style="1" hidden="1" customWidth="1"/>
    <col min="5" max="5" width="20.33203125" style="1" hidden="1" customWidth="1"/>
    <col min="6" max="16384" width="12" style="3"/>
  </cols>
  <sheetData>
    <row r="1" spans="1:29" s="28" customFormat="1" x14ac:dyDescent="0.2">
      <c r="A1" s="27"/>
      <c r="B1" s="27"/>
      <c r="C1" s="27"/>
      <c r="F1" s="29"/>
      <c r="G1" s="30"/>
      <c r="H1" s="30"/>
    </row>
    <row r="2" spans="1:29" s="28" customFormat="1" ht="15" x14ac:dyDescent="0.2">
      <c r="A2" s="31"/>
      <c r="B2" s="114" t="s">
        <v>48</v>
      </c>
      <c r="C2" s="115"/>
      <c r="D2" s="32"/>
      <c r="F2" s="29"/>
      <c r="G2" s="30"/>
      <c r="H2" s="30"/>
    </row>
    <row r="3" spans="1:29" s="28" customFormat="1" ht="15" x14ac:dyDescent="0.2">
      <c r="A3" s="31"/>
      <c r="B3" s="116" t="s">
        <v>2</v>
      </c>
      <c r="C3" s="117"/>
      <c r="D3" s="33"/>
      <c r="F3" s="29"/>
      <c r="G3" s="30"/>
      <c r="H3" s="30"/>
    </row>
    <row r="4" spans="1:29" s="28" customFormat="1" ht="19.5" customHeight="1" x14ac:dyDescent="0.2">
      <c r="A4" s="31"/>
      <c r="B4" s="118" t="s">
        <v>49</v>
      </c>
      <c r="C4" s="119"/>
      <c r="D4" s="34"/>
      <c r="F4" s="29"/>
      <c r="G4" s="30"/>
      <c r="H4" s="30"/>
    </row>
    <row r="5" spans="1:29" s="28" customFormat="1" x14ac:dyDescent="0.2">
      <c r="A5" s="27"/>
      <c r="B5" s="27"/>
      <c r="C5" s="27"/>
      <c r="F5" s="29"/>
      <c r="G5" s="30"/>
      <c r="H5" s="30"/>
    </row>
    <row r="6" spans="1:29" s="35" customFormat="1" ht="20.25" customHeight="1" x14ac:dyDescent="0.3">
      <c r="A6" s="120" t="s">
        <v>51</v>
      </c>
      <c r="B6" s="121"/>
      <c r="C6" s="121"/>
      <c r="D6" s="121"/>
      <c r="E6" s="28"/>
      <c r="F6" s="29"/>
      <c r="G6" s="30"/>
      <c r="H6" s="30"/>
      <c r="I6" s="28"/>
      <c r="J6" s="28"/>
    </row>
    <row r="7" spans="1:29" s="28" customFormat="1" x14ac:dyDescent="0.2">
      <c r="A7" s="27"/>
      <c r="B7" s="27"/>
      <c r="C7" s="27"/>
      <c r="F7" s="29"/>
      <c r="G7" s="30"/>
      <c r="H7" s="30"/>
    </row>
    <row r="8" spans="1:29" ht="21" customHeight="1" x14ac:dyDescent="0.2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spans="1:29" ht="20.100000000000001" customHeight="1" x14ac:dyDescent="0.2">
      <c r="A9" s="19"/>
      <c r="B9" s="19"/>
      <c r="C9" s="19"/>
      <c r="D9" s="19"/>
      <c r="E9" s="19"/>
    </row>
    <row r="10" spans="1:29" s="2" customFormat="1" ht="33" customHeight="1" x14ac:dyDescent="0.2">
      <c r="A10" s="44"/>
      <c r="B10" s="45" t="s">
        <v>52</v>
      </c>
      <c r="C10" s="45" t="s">
        <v>50</v>
      </c>
      <c r="D10" s="22" t="s">
        <v>23</v>
      </c>
      <c r="E10" s="22" t="s">
        <v>24</v>
      </c>
    </row>
    <row r="11" spans="1:29" s="39" customFormat="1" ht="39" customHeight="1" x14ac:dyDescent="0.2">
      <c r="A11" s="46">
        <v>1</v>
      </c>
      <c r="B11" s="47" t="s">
        <v>3</v>
      </c>
      <c r="C11" s="48"/>
      <c r="D11" s="38" t="s">
        <v>41</v>
      </c>
      <c r="E11" s="37">
        <v>59600</v>
      </c>
    </row>
    <row r="12" spans="1:29" s="39" customFormat="1" ht="39" customHeight="1" x14ac:dyDescent="0.2">
      <c r="A12" s="46">
        <v>2</v>
      </c>
      <c r="B12" s="47" t="s">
        <v>4</v>
      </c>
      <c r="C12" s="48"/>
      <c r="D12" s="38" t="s">
        <v>41</v>
      </c>
      <c r="E12" s="37">
        <v>1618214313</v>
      </c>
    </row>
    <row r="13" spans="1:29" s="39" customFormat="1" ht="39" customHeight="1" x14ac:dyDescent="0.2">
      <c r="A13" s="46">
        <v>3</v>
      </c>
      <c r="B13" s="47" t="s">
        <v>5</v>
      </c>
      <c r="C13" s="48"/>
      <c r="D13" s="40"/>
      <c r="E13" s="37"/>
    </row>
    <row r="14" spans="1:29" s="39" customFormat="1" ht="39" customHeight="1" x14ac:dyDescent="0.2">
      <c r="A14" s="46">
        <v>4</v>
      </c>
      <c r="B14" s="47" t="s">
        <v>6</v>
      </c>
      <c r="C14" s="48"/>
      <c r="D14" s="38" t="s">
        <v>41</v>
      </c>
      <c r="E14" s="37"/>
    </row>
    <row r="15" spans="1:29" s="39" customFormat="1" ht="39" customHeight="1" x14ac:dyDescent="0.2">
      <c r="A15" s="46">
        <v>5</v>
      </c>
      <c r="B15" s="47" t="s">
        <v>7</v>
      </c>
      <c r="C15" s="48"/>
      <c r="D15" s="40"/>
      <c r="E15" s="37"/>
    </row>
    <row r="16" spans="1:29" s="39" customFormat="1" ht="39" customHeight="1" x14ac:dyDescent="0.2">
      <c r="A16" s="46">
        <v>6</v>
      </c>
      <c r="B16" s="47" t="s">
        <v>8</v>
      </c>
      <c r="C16" s="48"/>
      <c r="D16" s="40"/>
      <c r="E16" s="37"/>
    </row>
    <row r="17" spans="1:5" s="39" customFormat="1" ht="39" customHeight="1" x14ac:dyDescent="0.2">
      <c r="A17" s="46">
        <v>7</v>
      </c>
      <c r="B17" s="47" t="s">
        <v>9</v>
      </c>
      <c r="C17" s="48"/>
      <c r="D17" s="40"/>
      <c r="E17" s="37"/>
    </row>
    <row r="18" spans="1:5" s="39" customFormat="1" ht="39" customHeight="1" x14ac:dyDescent="0.2">
      <c r="A18" s="46">
        <v>8</v>
      </c>
      <c r="B18" s="47" t="s">
        <v>10</v>
      </c>
      <c r="C18" s="48"/>
      <c r="D18" s="40"/>
      <c r="E18" s="37"/>
    </row>
    <row r="19" spans="1:5" s="39" customFormat="1" ht="39" customHeight="1" x14ac:dyDescent="0.2">
      <c r="A19" s="46">
        <v>9</v>
      </c>
      <c r="B19" s="47" t="s">
        <v>11</v>
      </c>
      <c r="C19" s="49"/>
      <c r="D19" s="40"/>
      <c r="E19" s="37"/>
    </row>
    <row r="20" spans="1:5" s="39" customFormat="1" ht="39" customHeight="1" x14ac:dyDescent="0.2">
      <c r="A20" s="46">
        <v>10</v>
      </c>
      <c r="B20" s="47" t="s">
        <v>12</v>
      </c>
      <c r="C20" s="48"/>
      <c r="D20" s="40"/>
      <c r="E20" s="37"/>
    </row>
    <row r="21" spans="1:5" s="39" customFormat="1" ht="39" customHeight="1" x14ac:dyDescent="0.2">
      <c r="A21" s="46">
        <v>11</v>
      </c>
      <c r="B21" s="47" t="s">
        <v>13</v>
      </c>
      <c r="C21" s="48"/>
      <c r="D21" s="40"/>
      <c r="E21" s="37"/>
    </row>
    <row r="22" spans="1:5" s="39" customFormat="1" ht="39" customHeight="1" x14ac:dyDescent="0.2">
      <c r="A22" s="46">
        <v>12</v>
      </c>
      <c r="B22" s="47" t="s">
        <v>14</v>
      </c>
      <c r="C22" s="48"/>
      <c r="D22" s="40"/>
      <c r="E22" s="37"/>
    </row>
    <row r="23" spans="1:5" s="39" customFormat="1" ht="39" customHeight="1" x14ac:dyDescent="0.2">
      <c r="A23" s="46">
        <v>13</v>
      </c>
      <c r="B23" s="47" t="s">
        <v>15</v>
      </c>
      <c r="C23" s="48"/>
      <c r="D23" s="40"/>
      <c r="E23" s="37"/>
    </row>
    <row r="24" spans="1:5" s="39" customFormat="1" ht="39" customHeight="1" x14ac:dyDescent="0.2">
      <c r="A24" s="46">
        <v>14</v>
      </c>
      <c r="B24" s="47" t="s">
        <v>16</v>
      </c>
      <c r="C24" s="48"/>
      <c r="D24" s="40"/>
      <c r="E24" s="37"/>
    </row>
    <row r="25" spans="1:5" s="39" customFormat="1" ht="39" customHeight="1" x14ac:dyDescent="0.2">
      <c r="A25" s="46">
        <v>15</v>
      </c>
      <c r="B25" s="47" t="s">
        <v>42</v>
      </c>
      <c r="C25" s="48"/>
      <c r="D25" s="40"/>
      <c r="E25" s="37"/>
    </row>
    <row r="26" spans="1:5" s="39" customFormat="1" ht="39" customHeight="1" x14ac:dyDescent="0.2">
      <c r="A26" s="46">
        <v>16</v>
      </c>
      <c r="B26" s="47" t="s">
        <v>17</v>
      </c>
      <c r="C26" s="48"/>
      <c r="D26" s="41"/>
      <c r="E26" s="37"/>
    </row>
    <row r="27" spans="1:5" s="39" customFormat="1" ht="39" customHeight="1" x14ac:dyDescent="0.2">
      <c r="A27" s="46">
        <v>17</v>
      </c>
      <c r="B27" s="47" t="s">
        <v>18</v>
      </c>
      <c r="C27" s="48"/>
      <c r="D27" s="37"/>
      <c r="E27" s="37"/>
    </row>
    <row r="28" spans="1:5" s="39" customFormat="1" ht="39" customHeight="1" x14ac:dyDescent="0.2">
      <c r="A28" s="46">
        <v>18</v>
      </c>
      <c r="B28" s="47" t="s">
        <v>19</v>
      </c>
      <c r="C28" s="48"/>
      <c r="D28" s="40"/>
      <c r="E28" s="37"/>
    </row>
    <row r="29" spans="1:5" s="39" customFormat="1" ht="39" customHeight="1" x14ac:dyDescent="0.2">
      <c r="A29" s="46">
        <v>19</v>
      </c>
      <c r="B29" s="47" t="s">
        <v>20</v>
      </c>
      <c r="C29" s="48"/>
      <c r="D29" s="40"/>
      <c r="E29" s="37"/>
    </row>
    <row r="30" spans="1:5" s="39" customFormat="1" ht="39" customHeight="1" x14ac:dyDescent="0.2">
      <c r="A30" s="46">
        <v>20</v>
      </c>
      <c r="B30" s="47" t="s">
        <v>21</v>
      </c>
      <c r="C30" s="48"/>
      <c r="D30" s="40" t="s">
        <v>46</v>
      </c>
      <c r="E30" s="37"/>
    </row>
    <row r="31" spans="1:5" s="39" customFormat="1" ht="39" customHeight="1" x14ac:dyDescent="0.2">
      <c r="A31" s="46">
        <v>21</v>
      </c>
      <c r="B31" s="47" t="s">
        <v>22</v>
      </c>
      <c r="C31" s="48"/>
      <c r="D31" s="40"/>
      <c r="E31" s="37"/>
    </row>
    <row r="32" spans="1:5" s="39" customFormat="1" ht="39" customHeight="1" x14ac:dyDescent="0.2">
      <c r="A32" s="46">
        <v>22</v>
      </c>
      <c r="B32" s="47" t="s">
        <v>37</v>
      </c>
      <c r="C32" s="48"/>
      <c r="D32" s="37"/>
      <c r="E32" s="37"/>
    </row>
    <row r="33" spans="1:5" s="39" customFormat="1" ht="39" customHeight="1" x14ac:dyDescent="0.2">
      <c r="A33" s="46">
        <v>23</v>
      </c>
      <c r="B33" s="50" t="s">
        <v>38</v>
      </c>
      <c r="C33" s="51"/>
      <c r="D33" s="43"/>
      <c r="E33" s="42"/>
    </row>
    <row r="34" spans="1:5" s="39" customFormat="1" ht="39" customHeight="1" x14ac:dyDescent="0.2">
      <c r="A34" s="46">
        <v>24</v>
      </c>
      <c r="B34" s="50" t="s">
        <v>39</v>
      </c>
      <c r="C34" s="52"/>
      <c r="D34" s="42"/>
      <c r="E34" s="42"/>
    </row>
    <row r="35" spans="1:5" s="39" customFormat="1" ht="39" customHeight="1" x14ac:dyDescent="0.2">
      <c r="A35" s="46">
        <v>25</v>
      </c>
      <c r="B35" s="50" t="s">
        <v>40</v>
      </c>
      <c r="C35" s="52"/>
      <c r="D35" s="42"/>
      <c r="E35" s="42"/>
    </row>
    <row r="36" spans="1:5" ht="18" x14ac:dyDescent="0.2">
      <c r="A36" s="53"/>
      <c r="B36" s="53"/>
      <c r="C36" s="53"/>
    </row>
  </sheetData>
  <mergeCells count="4">
    <mergeCell ref="B2:C2"/>
    <mergeCell ref="B3:C3"/>
    <mergeCell ref="B4:C4"/>
    <mergeCell ref="A6:D6"/>
  </mergeCells>
  <pageMargins left="0.7" right="0.7" top="0.75" bottom="0.75" header="0.3" footer="0.3"/>
  <pageSetup paperSize="9" scale="62" orientation="portrait" r:id="rId1"/>
  <colBreaks count="1" manualBreakCount="1">
    <brk id="3" max="3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MAYO 2024 (2)</vt:lpstr>
      <vt:lpstr>JUNIO 2024</vt:lpstr>
      <vt:lpstr>NOVIEMBRE 2024</vt:lpstr>
      <vt:lpstr>DICIEMBRE 2024</vt:lpstr>
      <vt:lpstr>ENERO 2025</vt:lpstr>
      <vt:lpstr>FEBRERO 2025</vt:lpstr>
      <vt:lpstr>OCTUBRE 2025 PENDIENTES</vt:lpstr>
      <vt:lpstr>OCTUBRE 2025</vt:lpstr>
      <vt:lpstr>LISTADO ASISITENCIA</vt:lpstr>
      <vt:lpstr>'JUNIO 2024'!Área_de_impresión</vt:lpstr>
      <vt:lpstr>'LISTADO ASISITENCIA'!Área_de_impresión</vt:lpstr>
      <vt:lpstr>'MAYO 2024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</dc:creator>
  <cp:lastModifiedBy>Daniel  Villamizar</cp:lastModifiedBy>
  <cp:lastPrinted>2024-05-15T21:29:23Z</cp:lastPrinted>
  <dcterms:created xsi:type="dcterms:W3CDTF">2020-11-01T19:22:52Z</dcterms:created>
  <dcterms:modified xsi:type="dcterms:W3CDTF">2025-10-16T19:36:19Z</dcterms:modified>
</cp:coreProperties>
</file>